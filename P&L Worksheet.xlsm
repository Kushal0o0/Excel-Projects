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1" codeName="{00000000-0000-0000-0000-000000000000}"/>
  <workbookPr filterPrivacy="1" codeName="ThisWorkbook" defaultThemeVersion="124226"/>
  <xr:revisionPtr revIDLastSave="566" documentId="8_{208B0338-1E4B-483F-8306-500483D7311F}" xr6:coauthVersionLast="47" xr6:coauthVersionMax="47" xr10:uidLastSave="{B5A04D93-3AEE-40A6-82A9-D7E05B9F37F4}"/>
  <bookViews>
    <workbookView xWindow="0" yWindow="0" windowWidth="15372" windowHeight="5280" firstSheet="4" activeTab="4" xr2:uid="{00000000-000D-0000-FFFF-FFFF00000000}"/>
  </bookViews>
  <sheets>
    <sheet name="Index" sheetId="7" r:id="rId1"/>
    <sheet name="1.1 FY2016" sheetId="1" r:id="rId2"/>
    <sheet name="1.2 FY2017" sheetId="2" r:id="rId3"/>
    <sheet name="1.3 FY2018" sheetId="3" r:id="rId4"/>
    <sheet name="DataBase" sheetId="8" r:id="rId5"/>
    <sheet name="P&amp;L Statement" sheetId="9" r:id="rId6"/>
  </sheets>
  <definedNames>
    <definedName name="_xlnm._FilterDatabase" localSheetId="1" hidden="1">'1.1 FY2016'!$C$4:$G$61</definedName>
    <definedName name="_xlnm._FilterDatabase" localSheetId="2" hidden="1">'1.2 FY2017'!$C$4:$G$86</definedName>
    <definedName name="_xlnm._FilterDatabase" localSheetId="3" hidden="1">'1.3 FY2018'!$C$4:$G$78</definedName>
    <definedName name="_xlnm._FilterDatabase" localSheetId="4" hidden="1">DataBase!$A$1:$J$222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3" i="9" l="1"/>
  <c r="E23" i="9"/>
  <c r="D22" i="9"/>
  <c r="E22" i="9"/>
  <c r="C22" i="9"/>
  <c r="D19" i="9"/>
  <c r="E19" i="9"/>
  <c r="D20" i="9"/>
  <c r="E20" i="9"/>
  <c r="C20" i="9"/>
  <c r="C19" i="9"/>
  <c r="D17" i="9"/>
  <c r="E17" i="9"/>
  <c r="C17" i="9"/>
  <c r="D11" i="9"/>
  <c r="D12" i="9"/>
  <c r="D13" i="9"/>
  <c r="D14" i="9"/>
  <c r="D15" i="9"/>
  <c r="E11" i="9"/>
  <c r="E12" i="9"/>
  <c r="E13" i="9"/>
  <c r="E14" i="9"/>
  <c r="E15" i="9"/>
  <c r="D10" i="9"/>
  <c r="E10" i="9"/>
  <c r="C11" i="9"/>
  <c r="C12" i="9"/>
  <c r="C13" i="9"/>
  <c r="C14" i="9"/>
  <c r="C15" i="9"/>
  <c r="C10" i="9"/>
  <c r="C8" i="9"/>
  <c r="D8" i="9"/>
  <c r="E8" i="9"/>
  <c r="C6" i="9"/>
  <c r="E5" i="9"/>
  <c r="E6" i="9"/>
  <c r="D5" i="9"/>
  <c r="D6" i="9"/>
  <c r="D4" i="9"/>
  <c r="D7" i="9" s="1"/>
  <c r="D9" i="9" s="1"/>
  <c r="D16" i="9" s="1"/>
  <c r="D18" i="9" s="1"/>
  <c r="D21" i="9" s="1"/>
  <c r="E4" i="9"/>
  <c r="E7" i="9" s="1"/>
  <c r="E9" i="9" s="1"/>
  <c r="E16" i="9" s="1"/>
  <c r="E18" i="9" s="1"/>
  <c r="E21" i="9" s="1"/>
  <c r="C5" i="9"/>
  <c r="C4" i="9"/>
  <c r="C7" i="9" s="1"/>
  <c r="C9" i="9" s="1"/>
  <c r="C16" i="9" s="1"/>
  <c r="C18" i="9"/>
  <c r="C21" i="9" s="1"/>
  <c r="C23" i="9" s="1"/>
  <c r="G9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2" i="8"/>
  <c r="F3" i="8"/>
  <c r="F4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65" i="8"/>
  <c r="F66" i="8"/>
  <c r="F67" i="8"/>
  <c r="F68" i="8"/>
  <c r="F69" i="8"/>
  <c r="F70" i="8"/>
  <c r="F71" i="8"/>
  <c r="F72" i="8"/>
  <c r="F73" i="8"/>
  <c r="F74" i="8"/>
  <c r="F75" i="8"/>
  <c r="F76" i="8"/>
  <c r="F77" i="8"/>
  <c r="F78" i="8"/>
  <c r="F79" i="8"/>
  <c r="F80" i="8"/>
  <c r="F81" i="8"/>
  <c r="F82" i="8"/>
  <c r="F83" i="8"/>
  <c r="F84" i="8"/>
  <c r="F85" i="8"/>
  <c r="F86" i="8"/>
  <c r="F87" i="8"/>
  <c r="F88" i="8"/>
  <c r="F89" i="8"/>
  <c r="F90" i="8"/>
  <c r="F91" i="8"/>
  <c r="F92" i="8"/>
  <c r="F93" i="8"/>
  <c r="F94" i="8"/>
  <c r="F95" i="8"/>
  <c r="F96" i="8"/>
  <c r="F97" i="8"/>
  <c r="F98" i="8"/>
  <c r="F99" i="8"/>
  <c r="F100" i="8"/>
  <c r="F101" i="8"/>
  <c r="F102" i="8"/>
  <c r="F103" i="8"/>
  <c r="F104" i="8"/>
  <c r="F105" i="8"/>
  <c r="F106" i="8"/>
  <c r="F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2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D93" i="8"/>
  <c r="C93" i="8"/>
  <c r="B93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D59" i="8"/>
  <c r="C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59" i="8"/>
  <c r="D10" i="8"/>
  <c r="D3" i="8"/>
  <c r="D4" i="8"/>
  <c r="D5" i="8"/>
  <c r="D6" i="8"/>
  <c r="D7" i="8"/>
  <c r="D8" i="8"/>
  <c r="D9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2" i="8"/>
  <c r="C18" i="8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2" i="8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5" i="3"/>
  <c r="B7" i="1"/>
</calcChain>
</file>

<file path=xl/sharedStrings.xml><?xml version="1.0" encoding="utf-8"?>
<sst xmlns="http://schemas.openxmlformats.org/spreadsheetml/2006/main" count="864" uniqueCount="234">
  <si>
    <t>Case study</t>
  </si>
  <si>
    <t>Sheet index</t>
  </si>
  <si>
    <t>1. P&amp;L extractions --&gt;</t>
  </si>
  <si>
    <t>1.1 FY2016</t>
  </si>
  <si>
    <t>1.2 FY2017</t>
  </si>
  <si>
    <t>1.3 FY2018</t>
  </si>
  <si>
    <t>FY2016</t>
  </si>
  <si>
    <t xml:space="preserve"> unique code</t>
  </si>
  <si>
    <t>P&amp;L account</t>
  </si>
  <si>
    <t>Partner company</t>
  </si>
  <si>
    <t>Name of partner company</t>
  </si>
  <si>
    <t>Amounts</t>
  </si>
  <si>
    <t>Account number</t>
  </si>
  <si>
    <t>2001110000111111</t>
  </si>
  <si>
    <t>Core business revenues</t>
  </si>
  <si>
    <t>External</t>
  </si>
  <si>
    <t>2001190000111111</t>
  </si>
  <si>
    <t>Other revenues</t>
  </si>
  <si>
    <t>Capitalized costs</t>
  </si>
  <si>
    <t>Green Ventures Ltd</t>
  </si>
  <si>
    <t>20200000001007</t>
  </si>
  <si>
    <t>Generco Sunshine JSC</t>
  </si>
  <si>
    <t>20200000001008</t>
  </si>
  <si>
    <t>Greenco Ltd</t>
  </si>
  <si>
    <t>2020000000111101</t>
  </si>
  <si>
    <t>Not assigned</t>
  </si>
  <si>
    <t>2021900000111111</t>
  </si>
  <si>
    <t>Direct costs</t>
  </si>
  <si>
    <t>2024080000111111</t>
  </si>
  <si>
    <t>Freight outbound expenses</t>
  </si>
  <si>
    <t>202409000088</t>
  </si>
  <si>
    <t>R&amp;D expenses</t>
  </si>
  <si>
    <t>Generco Ltd</t>
  </si>
  <si>
    <t>2024090000111111</t>
  </si>
  <si>
    <t>2041000000111111</t>
  </si>
  <si>
    <t>Wages and salaries</t>
  </si>
  <si>
    <t>2042000000111101</t>
  </si>
  <si>
    <t>Pension contributions</t>
  </si>
  <si>
    <t>204200000088</t>
  </si>
  <si>
    <t>2045000000111101</t>
  </si>
  <si>
    <t>Severance indemnity contribution</t>
  </si>
  <si>
    <t>2051210000111101</t>
  </si>
  <si>
    <t>D&amp;A</t>
  </si>
  <si>
    <t>20512100001</t>
  </si>
  <si>
    <t>20690100001</t>
  </si>
  <si>
    <t>Corporate recharges</t>
  </si>
  <si>
    <t>1</t>
  </si>
  <si>
    <t>Greeny Ltd</t>
  </si>
  <si>
    <t>206901000014</t>
  </si>
  <si>
    <t>Generco Cosmetics Ltd</t>
  </si>
  <si>
    <t>20690100001037</t>
  </si>
  <si>
    <t>Generco Canada JSC</t>
  </si>
  <si>
    <t>20690100001087</t>
  </si>
  <si>
    <t>1087</t>
  </si>
  <si>
    <t>Gener Beauty GmbH</t>
  </si>
  <si>
    <t>20690100001009</t>
  </si>
  <si>
    <t>20690100001007</t>
  </si>
  <si>
    <t>20690100001008</t>
  </si>
  <si>
    <t>20690100001240</t>
  </si>
  <si>
    <t xml:space="preserve">Generco UK </t>
  </si>
  <si>
    <t>2069010000111111</t>
  </si>
  <si>
    <t>2069980000111111</t>
  </si>
  <si>
    <t>Other income</t>
  </si>
  <si>
    <t>2070400000111111</t>
  </si>
  <si>
    <t>Marketing expenses</t>
  </si>
  <si>
    <t>207050000088</t>
  </si>
  <si>
    <t>Software&amp;IT</t>
  </si>
  <si>
    <t>2070500000111111</t>
  </si>
  <si>
    <t>2070600000111111</t>
  </si>
  <si>
    <t>Leasings</t>
  </si>
  <si>
    <t>207090000043</t>
  </si>
  <si>
    <t>Service expenses</t>
  </si>
  <si>
    <t>43</t>
  </si>
  <si>
    <t>Greeny France SL</t>
  </si>
  <si>
    <t>20709000002240</t>
  </si>
  <si>
    <t>2240</t>
  </si>
  <si>
    <t>Greeny Germany GmbH</t>
  </si>
  <si>
    <t>2070900000111111</t>
  </si>
  <si>
    <t>2071000000111111</t>
  </si>
  <si>
    <t>Charges and contributions</t>
  </si>
  <si>
    <t>2071100000111111</t>
  </si>
  <si>
    <t>Insurance expenses</t>
  </si>
  <si>
    <t>2071209200111111</t>
  </si>
  <si>
    <t>Travel expenses</t>
  </si>
  <si>
    <t>2071209400111111</t>
  </si>
  <si>
    <t>Utility expenses</t>
  </si>
  <si>
    <t>2071209500111111</t>
  </si>
  <si>
    <t>Legal expenses</t>
  </si>
  <si>
    <t>2071980000111101</t>
  </si>
  <si>
    <t>Misc costs</t>
  </si>
  <si>
    <t>2079022000111111</t>
  </si>
  <si>
    <t>Consulting fees</t>
  </si>
  <si>
    <t>2079070000105</t>
  </si>
  <si>
    <t>Misc extraordinary expenses</t>
  </si>
  <si>
    <t>Generco Healthcare Ltd</t>
  </si>
  <si>
    <t>2079070000111111</t>
  </si>
  <si>
    <t>20790800001009</t>
  </si>
  <si>
    <t>Difference from eliminations</t>
  </si>
  <si>
    <t>20790800001007</t>
  </si>
  <si>
    <t>20790800001008</t>
  </si>
  <si>
    <t>20822800001009</t>
  </si>
  <si>
    <t>Interest income</t>
  </si>
  <si>
    <t>20822800001007</t>
  </si>
  <si>
    <t>20822800001008</t>
  </si>
  <si>
    <t>20822800001240</t>
  </si>
  <si>
    <t>2082280000111111</t>
  </si>
  <si>
    <t>2082202000111101</t>
  </si>
  <si>
    <t>Capitalized interest</t>
  </si>
  <si>
    <t>2082208200111101</t>
  </si>
  <si>
    <t>Non-recurring costs</t>
  </si>
  <si>
    <t>208221400088</t>
  </si>
  <si>
    <t>Interest expenses</t>
  </si>
  <si>
    <t>2091200000111101</t>
  </si>
  <si>
    <t>Current taxes</t>
  </si>
  <si>
    <t>2091200001111101</t>
  </si>
  <si>
    <t>Regional taxes</t>
  </si>
  <si>
    <t>2092200000111101</t>
  </si>
  <si>
    <t>Deferred taxes</t>
  </si>
  <si>
    <t>2999999999111101</t>
  </si>
  <si>
    <t>Net income/(loss)</t>
  </si>
  <si>
    <t>FY2017</t>
  </si>
  <si>
    <t>unique code</t>
  </si>
  <si>
    <t>Partner company number</t>
  </si>
  <si>
    <t>2001110000105</t>
  </si>
  <si>
    <t>20200000001086</t>
  </si>
  <si>
    <t>1086</t>
  </si>
  <si>
    <t>G&amp;Resources Ltd</t>
  </si>
  <si>
    <t>2021210000111111</t>
  </si>
  <si>
    <t>Utility charges</t>
  </si>
  <si>
    <t>202409000019</t>
  </si>
  <si>
    <t>20240900001283</t>
  </si>
  <si>
    <t>1283</t>
  </si>
  <si>
    <t>Generco Ventures Ltd</t>
  </si>
  <si>
    <t>20240900001924</t>
  </si>
  <si>
    <t>1924</t>
  </si>
  <si>
    <t>Generco Infrastructure Ltd</t>
  </si>
  <si>
    <t>20240900002486</t>
  </si>
  <si>
    <t>2486</t>
  </si>
  <si>
    <t>Generco Exloration Ltd</t>
  </si>
  <si>
    <t>Social security payments</t>
  </si>
  <si>
    <t>2049000000111101</t>
  </si>
  <si>
    <t>Other personnel expenses</t>
  </si>
  <si>
    <t>2051260000111101</t>
  </si>
  <si>
    <t>2060220000111111</t>
  </si>
  <si>
    <t>Gains from disposal of PP&amp;E</t>
  </si>
  <si>
    <t>206901000019</t>
  </si>
  <si>
    <t>20690100001076</t>
  </si>
  <si>
    <t>1076</t>
  </si>
  <si>
    <t>Generco Trading Ltd</t>
  </si>
  <si>
    <t>20690100001086</t>
  </si>
  <si>
    <t>Generco Semiconductors Ltd</t>
  </si>
  <si>
    <t>206901000047037</t>
  </si>
  <si>
    <t>47037</t>
  </si>
  <si>
    <t>G&amp;CR Global Ltd</t>
  </si>
  <si>
    <t>206998000088</t>
  </si>
  <si>
    <t>2070290000111101</t>
  </si>
  <si>
    <t>Concession fees other</t>
  </si>
  <si>
    <t>2070900000105</t>
  </si>
  <si>
    <t>20711000001900</t>
  </si>
  <si>
    <t>Generco Metals Gm</t>
  </si>
  <si>
    <t>20712092001118</t>
  </si>
  <si>
    <t>1118</t>
  </si>
  <si>
    <t>Gener Green LLC</t>
  </si>
  <si>
    <t>2071220000111111</t>
  </si>
  <si>
    <t>Losses fr disposal of PPE</t>
  </si>
  <si>
    <t>207151100019</t>
  </si>
  <si>
    <t>Other operative currency differences</t>
  </si>
  <si>
    <t>2071511000111111</t>
  </si>
  <si>
    <t>2071910000111111</t>
  </si>
  <si>
    <t>Property tax</t>
  </si>
  <si>
    <t>207907000019</t>
  </si>
  <si>
    <t>207907000043</t>
  </si>
  <si>
    <t>20790700001924</t>
  </si>
  <si>
    <t>20790800001086</t>
  </si>
  <si>
    <t>20822800001086</t>
  </si>
  <si>
    <t>20822800001006</t>
  </si>
  <si>
    <t>Generco Mining GmbH</t>
  </si>
  <si>
    <t>20822140001007</t>
  </si>
  <si>
    <t>2082214000111111</t>
  </si>
  <si>
    <t>20821100001240</t>
  </si>
  <si>
    <t>Impairment of participation</t>
  </si>
  <si>
    <t>2091900000111101</t>
  </si>
  <si>
    <t>Quarterly changes in current taxes</t>
  </si>
  <si>
    <t>2111111999111101</t>
  </si>
  <si>
    <t>FY2018</t>
  </si>
  <si>
    <t>Unique Code</t>
  </si>
  <si>
    <t xml:space="preserve">Utility charges </t>
  </si>
  <si>
    <t>Operating expenses for utilities</t>
  </si>
  <si>
    <t>2185</t>
  </si>
  <si>
    <t>Generco Green Projects GmbH</t>
  </si>
  <si>
    <t>Generco Risk Management Ltd</t>
  </si>
  <si>
    <t>Reimbursements+compensation for damages</t>
  </si>
  <si>
    <t>Repairs/Maintenance costs</t>
  </si>
  <si>
    <t>Offset segments (tech.)</t>
  </si>
  <si>
    <t>PL_Account</t>
  </si>
  <si>
    <t xml:space="preserve"> FY16</t>
  </si>
  <si>
    <t xml:space="preserve"> FY17</t>
  </si>
  <si>
    <t xml:space="preserve"> FY18</t>
  </si>
  <si>
    <t>Mapping</t>
  </si>
  <si>
    <t>Net sales</t>
  </si>
  <si>
    <t>20200000001009</t>
  </si>
  <si>
    <t>Other operating expenses</t>
  </si>
  <si>
    <t>Personnel expenses</t>
  </si>
  <si>
    <t>Recharges</t>
  </si>
  <si>
    <t>Expenses</t>
  </si>
  <si>
    <t>-</t>
  </si>
  <si>
    <t>Extraordinary items</t>
  </si>
  <si>
    <t>Financial items</t>
  </si>
  <si>
    <t>Taxes</t>
  </si>
  <si>
    <t>Net income</t>
  </si>
  <si>
    <t>2024020000111111</t>
  </si>
  <si>
    <t>20240900002185</t>
  </si>
  <si>
    <t>20240900002240</t>
  </si>
  <si>
    <t>202409000017000</t>
  </si>
  <si>
    <t>20604410001118</t>
  </si>
  <si>
    <t>2060441000111111</t>
  </si>
  <si>
    <t>20690100001006</t>
  </si>
  <si>
    <t>2069020000111111</t>
  </si>
  <si>
    <t>2069980000105</t>
  </si>
  <si>
    <t>2070600000105</t>
  </si>
  <si>
    <t>207110000088</t>
  </si>
  <si>
    <t>2071209100111111</t>
  </si>
  <si>
    <t>2082110000111101</t>
  </si>
  <si>
    <t>2111111997111101</t>
  </si>
  <si>
    <t>P&amp;L Statement</t>
  </si>
  <si>
    <t>EUR in milions</t>
  </si>
  <si>
    <t>FY16</t>
  </si>
  <si>
    <t>FY17</t>
  </si>
  <si>
    <t>FY18</t>
  </si>
  <si>
    <t>Total Revenues</t>
  </si>
  <si>
    <t>Gross Margin</t>
  </si>
  <si>
    <t>EBITDA</t>
  </si>
  <si>
    <t>EBITD</t>
  </si>
  <si>
    <t>EBT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</si>
</sst>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[$€-2]\ * #,##0.00_);_([$€-2]\ * \(#,##0.00\);_([$€-2]\ * &quot;-&quot;??_);_(@_)"/>
  </numFmts>
  <fonts count="23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rgb="FF002060"/>
      <name val="Arial"/>
      <family val="2"/>
    </font>
    <font>
      <b/>
      <sz val="9"/>
      <color theme="3"/>
      <name val="Calibri"/>
      <family val="2"/>
      <scheme val="minor"/>
    </font>
    <font>
      <sz val="8"/>
      <color theme="1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9"/>
      <color theme="0"/>
      <name val="Arial"/>
      <family val="2"/>
    </font>
    <font>
      <b/>
      <sz val="9"/>
      <color theme="3"/>
      <name val="Arial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0"/>
      <name val="Arial"/>
      <family val="2"/>
    </font>
    <font>
      <sz val="9"/>
      <color theme="10"/>
      <name val="Arial"/>
      <family val="2"/>
      <charset val="204"/>
    </font>
    <font>
      <b/>
      <sz val="8"/>
      <color theme="1"/>
      <name val="Arial"/>
      <family val="2"/>
    </font>
    <font>
      <b/>
      <sz val="11"/>
      <color rgb="FF002060"/>
      <name val="Calibri"/>
      <family val="2"/>
      <scheme val="minor"/>
    </font>
    <font>
      <sz val="10"/>
      <color theme="1"/>
      <name val="Arial"/>
      <charset val="1"/>
    </font>
    <font>
      <b/>
      <sz val="18"/>
      <color rgb="FF002060"/>
      <name val="Calibri"/>
      <scheme val="minor"/>
    </font>
    <font>
      <b/>
      <sz val="11"/>
      <color rgb="FF002060"/>
      <name val="Calibri"/>
      <scheme val="minor"/>
    </font>
    <font>
      <b/>
      <sz val="11"/>
      <color rgb="FF002060"/>
      <name val="Arial"/>
      <family val="2"/>
    </font>
    <font>
      <b/>
      <sz val="10"/>
      <color theme="0"/>
      <name val="Arial"/>
      <charset val="1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2060"/>
      </bottom>
      <diagonal/>
    </border>
  </borders>
  <cellStyleXfs count="4">
    <xf numFmtId="0" fontId="0" fillId="0" borderId="0"/>
    <xf numFmtId="0" fontId="4" fillId="0" borderId="1" applyFill="0" applyProtection="0">
      <alignment horizontal="right" wrapText="1"/>
    </xf>
    <xf numFmtId="43" fontId="11" fillId="0" borderId="0" applyFont="0" applyFill="0" applyBorder="0" applyAlignment="0" applyProtection="0"/>
    <xf numFmtId="0" fontId="12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8" fillId="3" borderId="0" xfId="0" applyFont="1" applyFill="1" applyAlignment="1">
      <alignment horizontal="left"/>
    </xf>
    <xf numFmtId="0" fontId="9" fillId="3" borderId="0" xfId="0" applyFont="1" applyFill="1"/>
    <xf numFmtId="0" fontId="14" fillId="2" borderId="0" xfId="3" applyFont="1" applyFill="1"/>
    <xf numFmtId="0" fontId="8" fillId="0" borderId="0" xfId="0" applyFont="1" applyAlignment="1">
      <alignment horizontal="left"/>
    </xf>
    <xf numFmtId="0" fontId="9" fillId="0" borderId="0" xfId="0" applyFont="1"/>
    <xf numFmtId="0" fontId="5" fillId="0" borderId="0" xfId="0" applyFont="1" applyAlignment="1">
      <alignment horizontal="left"/>
    </xf>
    <xf numFmtId="0" fontId="13" fillId="0" borderId="0" xfId="3" applyFont="1" applyFill="1"/>
    <xf numFmtId="0" fontId="1" fillId="0" borderId="0" xfId="0" applyFont="1"/>
    <xf numFmtId="0" fontId="6" fillId="0" borderId="0" xfId="0" applyFont="1" applyAlignment="1">
      <alignment horizontal="left"/>
    </xf>
    <xf numFmtId="0" fontId="7" fillId="0" borderId="0" xfId="0" applyFont="1"/>
    <xf numFmtId="0" fontId="10" fillId="0" borderId="1" xfId="1" applyFont="1" applyFill="1" applyAlignment="1">
      <alignment horizontal="left" wrapText="1"/>
    </xf>
    <xf numFmtId="0" fontId="15" fillId="0" borderId="0" xfId="0" applyFont="1" applyAlignment="1">
      <alignment horizontal="left"/>
    </xf>
    <xf numFmtId="0" fontId="15" fillId="2" borderId="0" xfId="0" applyFont="1" applyFill="1" applyAlignment="1">
      <alignment horizontal="left"/>
    </xf>
    <xf numFmtId="0" fontId="2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164" fontId="1" fillId="2" borderId="0" xfId="2" applyNumberFormat="1" applyFont="1" applyFill="1" applyAlignment="1">
      <alignment horizontal="left" vertical="center"/>
    </xf>
    <xf numFmtId="0" fontId="1" fillId="4" borderId="0" xfId="0" applyFont="1" applyFill="1" applyAlignment="1">
      <alignment horizontal="left" vertical="center"/>
    </xf>
    <xf numFmtId="164" fontId="1" fillId="4" borderId="0" xfId="2" applyNumberFormat="1" applyFont="1" applyFill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16" fillId="0" borderId="0" xfId="0" applyFont="1" applyAlignment="1">
      <alignment vertical="center"/>
    </xf>
    <xf numFmtId="0" fontId="1" fillId="2" borderId="0" xfId="0" applyFont="1" applyFill="1" applyAlignment="1">
      <alignment vertical="center"/>
    </xf>
    <xf numFmtId="0" fontId="0" fillId="0" borderId="0" xfId="0" applyAlignment="1">
      <alignment horizontal="left"/>
    </xf>
    <xf numFmtId="0" fontId="16" fillId="0" borderId="0" xfId="0" applyFont="1" applyAlignment="1">
      <alignment horizontal="left" vertical="center" wrapText="1"/>
    </xf>
    <xf numFmtId="0" fontId="0" fillId="0" borderId="0" xfId="0" applyAlignment="1">
      <alignment horizontal="left" wrapText="1"/>
    </xf>
    <xf numFmtId="0" fontId="16" fillId="0" borderId="0" xfId="0" applyFont="1" applyAlignment="1">
      <alignment horizontal="left" vertical="center"/>
    </xf>
    <xf numFmtId="2" fontId="16" fillId="0" borderId="0" xfId="0" applyNumberFormat="1" applyFont="1" applyAlignment="1">
      <alignment horizontal="left" vertical="center"/>
    </xf>
    <xf numFmtId="2" fontId="0" fillId="0" borderId="0" xfId="0" applyNumberFormat="1" applyAlignment="1">
      <alignment horizontal="left"/>
    </xf>
    <xf numFmtId="0" fontId="17" fillId="0" borderId="0" xfId="0" applyFont="1" applyAlignment="1">
      <alignment horizontal="left" readingOrder="1"/>
    </xf>
    <xf numFmtId="0" fontId="17" fillId="0" borderId="0" xfId="0" quotePrefix="1" applyFont="1" applyAlignment="1">
      <alignment horizontal="left" readingOrder="1"/>
    </xf>
    <xf numFmtId="0" fontId="17" fillId="0" borderId="0" xfId="0" applyFont="1" applyAlignment="1">
      <alignment readingOrder="1"/>
    </xf>
    <xf numFmtId="0" fontId="18" fillId="0" borderId="0" xfId="0" applyFont="1"/>
    <xf numFmtId="0" fontId="16" fillId="0" borderId="0" xfId="0" applyFont="1"/>
    <xf numFmtId="0" fontId="16" fillId="0" borderId="2" xfId="0" applyFont="1" applyBorder="1"/>
    <xf numFmtId="0" fontId="20" fillId="2" borderId="0" xfId="0" applyFont="1" applyFill="1" applyAlignment="1">
      <alignment vertical="center"/>
    </xf>
    <xf numFmtId="0" fontId="16" fillId="0" borderId="3" xfId="0" applyFont="1" applyBorder="1"/>
    <xf numFmtId="0" fontId="19" fillId="0" borderId="3" xfId="0" applyFont="1" applyBorder="1"/>
    <xf numFmtId="0" fontId="21" fillId="3" borderId="0" xfId="0" applyFont="1" applyFill="1" applyAlignment="1">
      <alignment readingOrder="1"/>
    </xf>
    <xf numFmtId="165" fontId="0" fillId="0" borderId="0" xfId="0" applyNumberFormat="1"/>
    <xf numFmtId="165" fontId="0" fillId="0" borderId="0" xfId="0" applyNumberFormat="1" applyAlignment="1">
      <alignment horizontal="right"/>
    </xf>
    <xf numFmtId="165" fontId="16" fillId="0" borderId="3" xfId="0" applyNumberFormat="1" applyFont="1" applyBorder="1" applyAlignment="1">
      <alignment horizontal="right"/>
    </xf>
    <xf numFmtId="165" fontId="22" fillId="3" borderId="0" xfId="0" applyNumberFormat="1" applyFont="1" applyFill="1" applyAlignment="1">
      <alignment horizontal="right"/>
    </xf>
    <xf numFmtId="0" fontId="0" fillId="0" borderId="0" xfId="0" applyNumberFormat="1"/>
    <xf numFmtId="0" fontId="16" fillId="0" borderId="2" xfId="0" applyNumberFormat="1" applyFont="1" applyBorder="1" applyAlignment="1">
      <alignment horizontal="right"/>
    </xf>
  </cellXfs>
  <cellStyles count="4">
    <cellStyle name="Comma" xfId="2" builtinId="3"/>
    <cellStyle name="Hyperlink" xfId="3" builtinId="8"/>
    <cellStyle name="Normal" xfId="0" builtinId="0"/>
    <cellStyle name="Smart Subtitle 1" xfId="1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8"/>
  <sheetViews>
    <sheetView showGridLines="0" workbookViewId="0">
      <selection activeCell="D5" sqref="D5"/>
    </sheetView>
  </sheetViews>
  <sheetFormatPr defaultColWidth="9.140625" defaultRowHeight="11.45"/>
  <cols>
    <col min="1" max="1" width="2" style="1" customWidth="1"/>
    <col min="2" max="2" width="10" style="1" customWidth="1"/>
    <col min="3" max="3" width="26" style="1" customWidth="1"/>
    <col min="4" max="4" width="19.42578125" style="1" customWidth="1"/>
    <col min="5" max="16384" width="9.140625" style="1"/>
  </cols>
  <sheetData>
    <row r="1" spans="1:4" ht="15.6">
      <c r="B1" s="2" t="s">
        <v>0</v>
      </c>
    </row>
    <row r="2" spans="1:4" ht="12">
      <c r="B2" s="3" t="s">
        <v>1</v>
      </c>
    </row>
    <row r="3" spans="1:4">
      <c r="A3" s="11"/>
      <c r="B3" s="11"/>
      <c r="C3" s="11"/>
      <c r="D3" s="11"/>
    </row>
    <row r="4" spans="1:4" ht="12">
      <c r="A4" s="11"/>
      <c r="B4" s="14"/>
      <c r="C4" s="14"/>
      <c r="D4" s="14"/>
    </row>
    <row r="5" spans="1:4">
      <c r="A5" s="11"/>
      <c r="B5" s="9"/>
      <c r="C5" s="10"/>
      <c r="D5" s="11"/>
    </row>
    <row r="6" spans="1:4" ht="12">
      <c r="B6" s="4">
        <v>1</v>
      </c>
      <c r="C6" s="5" t="s">
        <v>2</v>
      </c>
      <c r="D6" s="5"/>
    </row>
    <row r="7" spans="1:4" ht="12">
      <c r="B7" s="16">
        <v>2</v>
      </c>
      <c r="C7" s="6" t="s">
        <v>3</v>
      </c>
    </row>
    <row r="8" spans="1:4" ht="12">
      <c r="B8" s="15">
        <v>3</v>
      </c>
      <c r="C8" s="6" t="s">
        <v>4</v>
      </c>
    </row>
    <row r="9" spans="1:4" ht="12">
      <c r="B9" s="16">
        <v>4</v>
      </c>
      <c r="C9" s="6" t="s">
        <v>5</v>
      </c>
    </row>
    <row r="10" spans="1:4" ht="12">
      <c r="B10" s="7"/>
      <c r="C10" s="8"/>
      <c r="D10" s="8"/>
    </row>
    <row r="11" spans="1:4">
      <c r="B11" s="9"/>
      <c r="C11" s="10"/>
      <c r="D11" s="11"/>
    </row>
    <row r="12" spans="1:4">
      <c r="B12" s="9"/>
      <c r="C12" s="10"/>
      <c r="D12" s="11"/>
    </row>
    <row r="13" spans="1:4" ht="12">
      <c r="B13" s="12"/>
      <c r="C13" s="8"/>
      <c r="D13" s="13"/>
    </row>
    <row r="14" spans="1:4">
      <c r="B14" s="9"/>
      <c r="C14" s="10"/>
      <c r="D14" s="11"/>
    </row>
    <row r="15" spans="1:4">
      <c r="B15" s="9"/>
      <c r="C15" s="10"/>
      <c r="D15" s="11"/>
    </row>
    <row r="16" spans="1:4">
      <c r="B16" s="9"/>
      <c r="C16" s="10"/>
      <c r="D16" s="11"/>
    </row>
    <row r="17" spans="2:4">
      <c r="B17" s="9"/>
      <c r="C17" s="10"/>
      <c r="D17" s="11"/>
    </row>
    <row r="18" spans="2:4">
      <c r="B18" s="11"/>
      <c r="C18" s="11"/>
      <c r="D18" s="11"/>
    </row>
  </sheetData>
  <hyperlinks>
    <hyperlink ref="C7" location="'1.1 FY2016'!A1" display="1.1 FY2016" xr:uid="{00000000-0004-0000-0100-000000000000}"/>
    <hyperlink ref="C8" location="'1.2 FY2017'!A1" display="1.2 FY2017" xr:uid="{00000000-0004-0000-0100-000001000000}"/>
    <hyperlink ref="C9" location="'1.3 FY2018'!A1" display="1.3 FY2018" xr:uid="{00000000-0004-0000-0100-000002000000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B1:G61"/>
  <sheetViews>
    <sheetView workbookViewId="0">
      <pane ySplit="4" topLeftCell="A5" activePane="bottomLeft" state="frozen"/>
      <selection pane="bottomLeft" activeCell="E14" sqref="E14"/>
    </sheetView>
  </sheetViews>
  <sheetFormatPr defaultColWidth="9.140625" defaultRowHeight="12" customHeight="1"/>
  <cols>
    <col min="1" max="1" width="2" style="18" customWidth="1"/>
    <col min="2" max="2" width="18.5703125" style="18" customWidth="1"/>
    <col min="3" max="3" width="30" style="18" customWidth="1"/>
    <col min="4" max="4" width="23.85546875" style="18" bestFit="1" customWidth="1"/>
    <col min="5" max="5" width="27.42578125" style="18" customWidth="1"/>
    <col min="6" max="6" width="13.42578125" style="18" customWidth="1"/>
    <col min="7" max="7" width="18.42578125" style="18" customWidth="1"/>
    <col min="8" max="16384" width="9.140625" style="18"/>
  </cols>
  <sheetData>
    <row r="1" spans="2:7" ht="15.75">
      <c r="C1" s="17" t="s">
        <v>6</v>
      </c>
    </row>
    <row r="4" spans="2:7" s="22" customFormat="1">
      <c r="B4" s="22" t="s">
        <v>7</v>
      </c>
      <c r="C4" s="22" t="s">
        <v>8</v>
      </c>
      <c r="D4" s="22" t="s">
        <v>9</v>
      </c>
      <c r="E4" s="22" t="s">
        <v>10</v>
      </c>
      <c r="F4" s="22" t="s">
        <v>11</v>
      </c>
      <c r="G4" s="22" t="s">
        <v>12</v>
      </c>
    </row>
    <row r="5" spans="2:7">
      <c r="B5" s="18" t="s">
        <v>13</v>
      </c>
      <c r="C5" s="18" t="s">
        <v>14</v>
      </c>
      <c r="D5" s="18">
        <v>111111</v>
      </c>
      <c r="E5" s="18" t="s">
        <v>15</v>
      </c>
      <c r="F5" s="19">
        <v>-14500341</v>
      </c>
      <c r="G5" s="18">
        <v>2001110000</v>
      </c>
    </row>
    <row r="6" spans="2:7">
      <c r="B6" s="18" t="s">
        <v>16</v>
      </c>
      <c r="C6" s="18" t="s">
        <v>17</v>
      </c>
      <c r="D6" s="18">
        <v>111111</v>
      </c>
      <c r="E6" s="18" t="s">
        <v>15</v>
      </c>
      <c r="F6" s="19">
        <v>-4794856.1919999998</v>
      </c>
      <c r="G6" s="18">
        <v>2001190000</v>
      </c>
    </row>
    <row r="7" spans="2:7">
      <c r="B7" s="18" t="str">
        <f>+G7&amp;D7</f>
        <v>20200000001009</v>
      </c>
      <c r="C7" s="18" t="s">
        <v>18</v>
      </c>
      <c r="D7" s="18">
        <v>1009</v>
      </c>
      <c r="E7" s="18" t="s">
        <v>19</v>
      </c>
      <c r="F7" s="19">
        <v>-154890.4</v>
      </c>
      <c r="G7" s="18">
        <v>2020000000</v>
      </c>
    </row>
    <row r="8" spans="2:7">
      <c r="B8" s="18" t="s">
        <v>20</v>
      </c>
      <c r="C8" s="18" t="s">
        <v>18</v>
      </c>
      <c r="D8" s="18">
        <v>1007</v>
      </c>
      <c r="E8" s="18" t="s">
        <v>21</v>
      </c>
      <c r="F8" s="19">
        <v>-1180894.0520000001</v>
      </c>
      <c r="G8" s="18">
        <v>2020000000</v>
      </c>
    </row>
    <row r="9" spans="2:7">
      <c r="B9" s="18" t="s">
        <v>22</v>
      </c>
      <c r="C9" s="18" t="s">
        <v>18</v>
      </c>
      <c r="D9" s="18">
        <v>1008</v>
      </c>
      <c r="E9" s="18" t="s">
        <v>23</v>
      </c>
      <c r="F9" s="19">
        <v>-793079.51199999999</v>
      </c>
      <c r="G9" s="18">
        <v>2020000000</v>
      </c>
    </row>
    <row r="10" spans="2:7">
      <c r="B10" s="18" t="s">
        <v>24</v>
      </c>
      <c r="C10" s="18" t="s">
        <v>18</v>
      </c>
      <c r="D10" s="18">
        <v>111101</v>
      </c>
      <c r="E10" s="18" t="s">
        <v>25</v>
      </c>
      <c r="F10" s="19">
        <v>-2277197.6</v>
      </c>
      <c r="G10" s="18">
        <v>2020000000</v>
      </c>
    </row>
    <row r="11" spans="2:7">
      <c r="B11" s="18" t="s">
        <v>26</v>
      </c>
      <c r="C11" s="18" t="s">
        <v>27</v>
      </c>
      <c r="D11" s="18">
        <v>111111</v>
      </c>
      <c r="E11" s="18" t="s">
        <v>15</v>
      </c>
      <c r="F11" s="19">
        <v>4428911.7640000004</v>
      </c>
      <c r="G11" s="18">
        <v>2021900000</v>
      </c>
    </row>
    <row r="12" spans="2:7">
      <c r="B12" s="18" t="s">
        <v>28</v>
      </c>
      <c r="C12" s="18" t="s">
        <v>29</v>
      </c>
      <c r="D12" s="18">
        <v>111111</v>
      </c>
      <c r="E12" s="18" t="s">
        <v>15</v>
      </c>
      <c r="F12" s="19">
        <v>16977.628000000001</v>
      </c>
      <c r="G12" s="18">
        <v>2024080000</v>
      </c>
    </row>
    <row r="13" spans="2:7">
      <c r="B13" s="18" t="s">
        <v>30</v>
      </c>
      <c r="C13" s="18" t="s">
        <v>31</v>
      </c>
      <c r="D13" s="18">
        <v>88</v>
      </c>
      <c r="E13" s="18" t="s">
        <v>32</v>
      </c>
      <c r="F13" s="19">
        <v>2245437.54</v>
      </c>
      <c r="G13" s="18">
        <v>2024090000</v>
      </c>
    </row>
    <row r="14" spans="2:7">
      <c r="B14" s="18" t="s">
        <v>33</v>
      </c>
      <c r="C14" s="18" t="s">
        <v>31</v>
      </c>
      <c r="D14" s="18">
        <v>111111</v>
      </c>
      <c r="E14" s="18" t="s">
        <v>15</v>
      </c>
      <c r="F14" s="19">
        <v>16605.634000000002</v>
      </c>
      <c r="G14" s="18">
        <v>2024090000</v>
      </c>
    </row>
    <row r="15" spans="2:7">
      <c r="B15" s="18" t="s">
        <v>34</v>
      </c>
      <c r="C15" s="18" t="s">
        <v>35</v>
      </c>
      <c r="D15" s="18">
        <v>111111</v>
      </c>
      <c r="E15" s="18" t="s">
        <v>15</v>
      </c>
      <c r="F15" s="19">
        <v>4683394.0460000001</v>
      </c>
      <c r="G15" s="18">
        <v>2041000000</v>
      </c>
    </row>
    <row r="16" spans="2:7">
      <c r="B16" s="18" t="s">
        <v>36</v>
      </c>
      <c r="C16" s="18" t="s">
        <v>37</v>
      </c>
      <c r="D16" s="18">
        <v>111101</v>
      </c>
      <c r="E16" s="18" t="s">
        <v>25</v>
      </c>
      <c r="F16" s="19">
        <v>1143051.5760000001</v>
      </c>
      <c r="G16" s="18">
        <v>2042000000</v>
      </c>
    </row>
    <row r="17" spans="2:7">
      <c r="B17" s="18" t="s">
        <v>38</v>
      </c>
      <c r="C17" s="18" t="s">
        <v>37</v>
      </c>
      <c r="D17" s="18">
        <v>88</v>
      </c>
      <c r="E17" s="18" t="s">
        <v>32</v>
      </c>
      <c r="F17" s="19">
        <v>239379.61800000002</v>
      </c>
      <c r="G17" s="18">
        <v>2042000000</v>
      </c>
    </row>
    <row r="18" spans="2:7">
      <c r="B18" s="18" t="s">
        <v>39</v>
      </c>
      <c r="C18" s="18" t="s">
        <v>40</v>
      </c>
      <c r="D18" s="18">
        <v>111101</v>
      </c>
      <c r="E18" s="18" t="s">
        <v>25</v>
      </c>
      <c r="F18" s="19">
        <v>104913.8</v>
      </c>
      <c r="G18" s="18">
        <v>2045000000</v>
      </c>
    </row>
    <row r="19" spans="2:7">
      <c r="B19" s="18" t="s">
        <v>41</v>
      </c>
      <c r="C19" s="18" t="s">
        <v>42</v>
      </c>
      <c r="D19" s="18">
        <v>111101</v>
      </c>
      <c r="E19" s="18" t="s">
        <v>25</v>
      </c>
      <c r="F19" s="19">
        <v>2003262.2180000001</v>
      </c>
      <c r="G19" s="18">
        <v>2051210000</v>
      </c>
    </row>
    <row r="20" spans="2:7">
      <c r="B20" s="18" t="s">
        <v>43</v>
      </c>
      <c r="C20" s="18" t="s">
        <v>42</v>
      </c>
      <c r="D20" s="18">
        <v>1</v>
      </c>
      <c r="E20" s="18" t="s">
        <v>25</v>
      </c>
      <c r="F20" s="19">
        <v>41981.296000000002</v>
      </c>
      <c r="G20" s="18">
        <v>2051210000</v>
      </c>
    </row>
    <row r="21" spans="2:7">
      <c r="B21" s="18" t="s">
        <v>44</v>
      </c>
      <c r="C21" s="18" t="s">
        <v>45</v>
      </c>
      <c r="D21" s="18" t="s">
        <v>46</v>
      </c>
      <c r="E21" s="18" t="s">
        <v>47</v>
      </c>
      <c r="F21" s="19">
        <v>-2156147.4</v>
      </c>
      <c r="G21" s="18">
        <v>2069010000</v>
      </c>
    </row>
    <row r="22" spans="2:7">
      <c r="B22" s="18" t="s">
        <v>48</v>
      </c>
      <c r="C22" s="18" t="s">
        <v>45</v>
      </c>
      <c r="D22" s="18">
        <v>14</v>
      </c>
      <c r="E22" s="18" t="s">
        <v>49</v>
      </c>
      <c r="F22" s="19">
        <v>-291428.55199999997</v>
      </c>
      <c r="G22" s="18">
        <v>2069010000</v>
      </c>
    </row>
    <row r="23" spans="2:7">
      <c r="B23" s="18" t="s">
        <v>50</v>
      </c>
      <c r="C23" s="18" t="s">
        <v>45</v>
      </c>
      <c r="D23" s="18">
        <v>1037</v>
      </c>
      <c r="E23" s="18" t="s">
        <v>51</v>
      </c>
      <c r="F23" s="19">
        <v>0</v>
      </c>
      <c r="G23" s="18">
        <v>2069010000</v>
      </c>
    </row>
    <row r="24" spans="2:7">
      <c r="B24" s="18" t="s">
        <v>52</v>
      </c>
      <c r="C24" s="18" t="s">
        <v>45</v>
      </c>
      <c r="D24" s="18" t="s">
        <v>53</v>
      </c>
      <c r="E24" s="18" t="s">
        <v>54</v>
      </c>
      <c r="F24" s="19">
        <v>-33736.5</v>
      </c>
      <c r="G24" s="18">
        <v>2069010000</v>
      </c>
    </row>
    <row r="25" spans="2:7">
      <c r="B25" s="18" t="s">
        <v>55</v>
      </c>
      <c r="C25" s="18" t="s">
        <v>45</v>
      </c>
      <c r="D25" s="18">
        <v>1009</v>
      </c>
      <c r="E25" s="18" t="s">
        <v>19</v>
      </c>
      <c r="F25" s="19">
        <v>0</v>
      </c>
      <c r="G25" s="18">
        <v>2069010000</v>
      </c>
    </row>
    <row r="26" spans="2:7">
      <c r="B26" s="18" t="s">
        <v>56</v>
      </c>
      <c r="C26" s="18" t="s">
        <v>45</v>
      </c>
      <c r="D26" s="18">
        <v>1007</v>
      </c>
      <c r="E26" s="18" t="s">
        <v>21</v>
      </c>
      <c r="F26" s="19">
        <v>0</v>
      </c>
      <c r="G26" s="18">
        <v>2069010000</v>
      </c>
    </row>
    <row r="27" spans="2:7">
      <c r="B27" s="18" t="s">
        <v>57</v>
      </c>
      <c r="C27" s="18" t="s">
        <v>45</v>
      </c>
      <c r="D27" s="18">
        <v>1008</v>
      </c>
      <c r="E27" s="18" t="s">
        <v>23</v>
      </c>
      <c r="F27" s="19">
        <v>0</v>
      </c>
      <c r="G27" s="18">
        <v>2069010000</v>
      </c>
    </row>
    <row r="28" spans="2:7">
      <c r="B28" s="18" t="s">
        <v>58</v>
      </c>
      <c r="C28" s="18" t="s">
        <v>45</v>
      </c>
      <c r="D28" s="18">
        <v>1240</v>
      </c>
      <c r="E28" s="18" t="s">
        <v>59</v>
      </c>
      <c r="F28" s="19">
        <v>-199600.4</v>
      </c>
      <c r="G28" s="18">
        <v>2069010000</v>
      </c>
    </row>
    <row r="29" spans="2:7">
      <c r="B29" s="18" t="s">
        <v>60</v>
      </c>
      <c r="C29" s="18" t="s">
        <v>45</v>
      </c>
      <c r="D29" s="18">
        <v>111111</v>
      </c>
      <c r="E29" s="18" t="s">
        <v>15</v>
      </c>
      <c r="F29" s="19">
        <v>-539141.4</v>
      </c>
      <c r="G29" s="18">
        <v>2069010000</v>
      </c>
    </row>
    <row r="30" spans="2:7">
      <c r="B30" s="18" t="s">
        <v>61</v>
      </c>
      <c r="C30" s="18" t="s">
        <v>62</v>
      </c>
      <c r="D30" s="18">
        <v>111111</v>
      </c>
      <c r="E30" s="18" t="s">
        <v>15</v>
      </c>
      <c r="F30" s="19">
        <v>-57.221999999999994</v>
      </c>
      <c r="G30" s="18">
        <v>2069980000</v>
      </c>
    </row>
    <row r="31" spans="2:7">
      <c r="B31" s="18" t="s">
        <v>63</v>
      </c>
      <c r="C31" s="18" t="s">
        <v>64</v>
      </c>
      <c r="D31" s="18">
        <v>111111</v>
      </c>
      <c r="E31" s="18" t="s">
        <v>15</v>
      </c>
      <c r="F31" s="19">
        <v>22314.879999999997</v>
      </c>
      <c r="G31" s="18">
        <v>2070400000</v>
      </c>
    </row>
    <row r="32" spans="2:7">
      <c r="B32" s="18" t="s">
        <v>65</v>
      </c>
      <c r="C32" s="18" t="s">
        <v>66</v>
      </c>
      <c r="D32" s="18">
        <v>88</v>
      </c>
      <c r="E32" s="18" t="s">
        <v>32</v>
      </c>
      <c r="F32" s="19">
        <v>204000</v>
      </c>
      <c r="G32" s="18">
        <v>2070500000</v>
      </c>
    </row>
    <row r="33" spans="2:7">
      <c r="B33" s="18" t="s">
        <v>67</v>
      </c>
      <c r="C33" s="18" t="s">
        <v>66</v>
      </c>
      <c r="D33" s="18">
        <v>111111</v>
      </c>
      <c r="E33" s="18" t="s">
        <v>15</v>
      </c>
      <c r="F33" s="19">
        <v>138.41399999999999</v>
      </c>
      <c r="G33" s="18">
        <v>2070500000</v>
      </c>
    </row>
    <row r="34" spans="2:7">
      <c r="B34" s="18" t="s">
        <v>68</v>
      </c>
      <c r="C34" s="18" t="s">
        <v>69</v>
      </c>
      <c r="D34" s="18">
        <v>111111</v>
      </c>
      <c r="E34" s="18" t="s">
        <v>15</v>
      </c>
      <c r="F34" s="19">
        <v>1127445.872</v>
      </c>
      <c r="G34" s="18">
        <v>2070600000</v>
      </c>
    </row>
    <row r="35" spans="2:7">
      <c r="B35" s="18" t="s">
        <v>70</v>
      </c>
      <c r="C35" s="18" t="s">
        <v>71</v>
      </c>
      <c r="D35" s="18" t="s">
        <v>72</v>
      </c>
      <c r="E35" s="18" t="s">
        <v>73</v>
      </c>
      <c r="F35" s="19">
        <v>133722</v>
      </c>
      <c r="G35" s="18">
        <v>2070900000</v>
      </c>
    </row>
    <row r="36" spans="2:7">
      <c r="B36" s="18" t="s">
        <v>74</v>
      </c>
      <c r="C36" s="18" t="s">
        <v>71</v>
      </c>
      <c r="D36" s="18" t="s">
        <v>75</v>
      </c>
      <c r="E36" s="18" t="s">
        <v>76</v>
      </c>
      <c r="F36" s="19">
        <v>328061.886</v>
      </c>
      <c r="G36" s="18">
        <v>2070900000</v>
      </c>
    </row>
    <row r="37" spans="2:7">
      <c r="B37" s="18" t="s">
        <v>77</v>
      </c>
      <c r="C37" s="18" t="s">
        <v>71</v>
      </c>
      <c r="D37" s="18">
        <v>111111</v>
      </c>
      <c r="E37" s="18" t="s">
        <v>15</v>
      </c>
      <c r="F37" s="19">
        <v>2081304.3219999997</v>
      </c>
      <c r="G37" s="18">
        <v>2070900000</v>
      </c>
    </row>
    <row r="38" spans="2:7">
      <c r="B38" s="18" t="s">
        <v>78</v>
      </c>
      <c r="C38" s="18" t="s">
        <v>79</v>
      </c>
      <c r="D38" s="18">
        <v>111111</v>
      </c>
      <c r="E38" s="18" t="s">
        <v>15</v>
      </c>
      <c r="F38" s="19">
        <v>33410.031999999999</v>
      </c>
      <c r="G38" s="18">
        <v>2071000000</v>
      </c>
    </row>
    <row r="39" spans="2:7">
      <c r="B39" s="18" t="s">
        <v>80</v>
      </c>
      <c r="C39" s="18" t="s">
        <v>81</v>
      </c>
      <c r="D39" s="18">
        <v>111111</v>
      </c>
      <c r="E39" s="18" t="s">
        <v>15</v>
      </c>
      <c r="F39" s="19">
        <v>213090.85199999998</v>
      </c>
      <c r="G39" s="18">
        <v>2071100000</v>
      </c>
    </row>
    <row r="40" spans="2:7">
      <c r="B40" s="18" t="s">
        <v>82</v>
      </c>
      <c r="C40" s="18" t="s">
        <v>83</v>
      </c>
      <c r="D40" s="18">
        <v>111111</v>
      </c>
      <c r="E40" s="18" t="s">
        <v>15</v>
      </c>
      <c r="F40" s="19">
        <v>1813525.004</v>
      </c>
      <c r="G40" s="18">
        <v>2071209200</v>
      </c>
    </row>
    <row r="41" spans="2:7">
      <c r="B41" s="18" t="s">
        <v>84</v>
      </c>
      <c r="C41" s="18" t="s">
        <v>85</v>
      </c>
      <c r="D41" s="18">
        <v>111111</v>
      </c>
      <c r="E41" s="18" t="s">
        <v>15</v>
      </c>
      <c r="F41" s="19">
        <v>5552.2</v>
      </c>
      <c r="G41" s="18">
        <v>2071209400</v>
      </c>
    </row>
    <row r="42" spans="2:7">
      <c r="B42" s="18" t="s">
        <v>86</v>
      </c>
      <c r="C42" s="18" t="s">
        <v>87</v>
      </c>
      <c r="D42" s="18">
        <v>111111</v>
      </c>
      <c r="E42" s="18" t="s">
        <v>15</v>
      </c>
      <c r="F42" s="19">
        <v>43868.975999999995</v>
      </c>
      <c r="G42" s="18">
        <v>2071209500</v>
      </c>
    </row>
    <row r="43" spans="2:7">
      <c r="B43" s="18" t="s">
        <v>88</v>
      </c>
      <c r="C43" s="18" t="s">
        <v>89</v>
      </c>
      <c r="D43" s="18">
        <v>111101</v>
      </c>
      <c r="E43" s="18" t="s">
        <v>25</v>
      </c>
      <c r="F43" s="19">
        <v>10934.671999999999</v>
      </c>
      <c r="G43" s="18">
        <v>2071980000</v>
      </c>
    </row>
    <row r="44" spans="2:7">
      <c r="B44" s="18" t="s">
        <v>90</v>
      </c>
      <c r="C44" s="18" t="s">
        <v>91</v>
      </c>
      <c r="D44" s="18">
        <v>111111</v>
      </c>
      <c r="E44" s="18" t="s">
        <v>15</v>
      </c>
      <c r="F44" s="19">
        <v>20400</v>
      </c>
      <c r="G44" s="18">
        <v>2079022000</v>
      </c>
    </row>
    <row r="45" spans="2:7">
      <c r="B45" s="18" t="s">
        <v>92</v>
      </c>
      <c r="C45" s="18" t="s">
        <v>93</v>
      </c>
      <c r="D45" s="18">
        <v>105</v>
      </c>
      <c r="E45" s="18" t="s">
        <v>94</v>
      </c>
      <c r="F45" s="19">
        <v>0</v>
      </c>
      <c r="G45" s="18">
        <v>2079070000</v>
      </c>
    </row>
    <row r="46" spans="2:7">
      <c r="B46" s="18" t="s">
        <v>95</v>
      </c>
      <c r="C46" s="18" t="s">
        <v>93</v>
      </c>
      <c r="D46" s="18">
        <v>111111</v>
      </c>
      <c r="E46" s="18" t="s">
        <v>15</v>
      </c>
      <c r="F46" s="19">
        <v>563918.152</v>
      </c>
      <c r="G46" s="18">
        <v>2079070000</v>
      </c>
    </row>
    <row r="47" spans="2:7">
      <c r="B47" s="18" t="s">
        <v>96</v>
      </c>
      <c r="C47" s="18" t="s">
        <v>97</v>
      </c>
      <c r="D47" s="18">
        <v>1009</v>
      </c>
      <c r="E47" s="18" t="s">
        <v>19</v>
      </c>
      <c r="F47" s="19">
        <v>0</v>
      </c>
      <c r="G47" s="18">
        <v>2079080000</v>
      </c>
    </row>
    <row r="48" spans="2:7">
      <c r="B48" s="18" t="s">
        <v>98</v>
      </c>
      <c r="C48" s="18" t="s">
        <v>97</v>
      </c>
      <c r="D48" s="18">
        <v>1007</v>
      </c>
      <c r="E48" s="18" t="s">
        <v>21</v>
      </c>
      <c r="F48" s="19">
        <v>0</v>
      </c>
      <c r="G48" s="18">
        <v>2079080000</v>
      </c>
    </row>
    <row r="49" spans="2:7">
      <c r="B49" s="18" t="s">
        <v>99</v>
      </c>
      <c r="C49" s="18" t="s">
        <v>97</v>
      </c>
      <c r="D49" s="18">
        <v>1008</v>
      </c>
      <c r="E49" s="18" t="s">
        <v>23</v>
      </c>
      <c r="F49" s="19">
        <v>0</v>
      </c>
      <c r="G49" s="18">
        <v>2079080000</v>
      </c>
    </row>
    <row r="50" spans="2:7">
      <c r="B50" s="18" t="s">
        <v>100</v>
      </c>
      <c r="C50" s="18" t="s">
        <v>101</v>
      </c>
      <c r="D50" s="18">
        <v>1009</v>
      </c>
      <c r="E50" s="18" t="s">
        <v>19</v>
      </c>
      <c r="F50" s="19">
        <v>0</v>
      </c>
      <c r="G50" s="18">
        <v>2082280000</v>
      </c>
    </row>
    <row r="51" spans="2:7">
      <c r="B51" s="18" t="s">
        <v>102</v>
      </c>
      <c r="C51" s="18" t="s">
        <v>101</v>
      </c>
      <c r="D51" s="18">
        <v>1007</v>
      </c>
      <c r="E51" s="18" t="s">
        <v>21</v>
      </c>
      <c r="F51" s="19">
        <v>0</v>
      </c>
      <c r="G51" s="18">
        <v>2082280000</v>
      </c>
    </row>
    <row r="52" spans="2:7">
      <c r="B52" s="18" t="s">
        <v>103</v>
      </c>
      <c r="C52" s="18" t="s">
        <v>101</v>
      </c>
      <c r="D52" s="18">
        <v>1008</v>
      </c>
      <c r="E52" s="18" t="s">
        <v>23</v>
      </c>
      <c r="F52" s="19">
        <v>0</v>
      </c>
      <c r="G52" s="18">
        <v>2082280000</v>
      </c>
    </row>
    <row r="53" spans="2:7">
      <c r="B53" s="18" t="s">
        <v>104</v>
      </c>
      <c r="C53" s="18" t="s">
        <v>101</v>
      </c>
      <c r="D53" s="18">
        <v>1240</v>
      </c>
      <c r="E53" s="18" t="s">
        <v>59</v>
      </c>
      <c r="F53" s="19">
        <v>-35810.228000000003</v>
      </c>
      <c r="G53" s="18">
        <v>2082280000</v>
      </c>
    </row>
    <row r="54" spans="2:7">
      <c r="B54" s="18" t="s">
        <v>105</v>
      </c>
      <c r="C54" s="18" t="s">
        <v>101</v>
      </c>
      <c r="D54" s="18">
        <v>111111</v>
      </c>
      <c r="E54" s="18" t="s">
        <v>15</v>
      </c>
      <c r="F54" s="19">
        <v>-51927.417999999998</v>
      </c>
      <c r="G54" s="18">
        <v>2082280000</v>
      </c>
    </row>
    <row r="55" spans="2:7">
      <c r="B55" s="18" t="s">
        <v>106</v>
      </c>
      <c r="C55" s="18" t="s">
        <v>107</v>
      </c>
      <c r="D55" s="18">
        <v>111101</v>
      </c>
      <c r="E55" s="18" t="s">
        <v>25</v>
      </c>
      <c r="F55" s="19">
        <v>-862270.63399999996</v>
      </c>
      <c r="G55" s="18">
        <v>2082202000</v>
      </c>
    </row>
    <row r="56" spans="2:7">
      <c r="B56" s="18" t="s">
        <v>108</v>
      </c>
      <c r="C56" s="18" t="s">
        <v>109</v>
      </c>
      <c r="D56" s="18">
        <v>111101</v>
      </c>
      <c r="E56" s="18" t="s">
        <v>25</v>
      </c>
      <c r="F56" s="19">
        <v>22763</v>
      </c>
      <c r="G56" s="18">
        <v>2082208200</v>
      </c>
    </row>
    <row r="57" spans="2:7">
      <c r="B57" s="18" t="s">
        <v>110</v>
      </c>
      <c r="C57" s="18" t="s">
        <v>111</v>
      </c>
      <c r="D57" s="18">
        <v>88</v>
      </c>
      <c r="E57" s="18" t="s">
        <v>32</v>
      </c>
      <c r="F57" s="19">
        <v>2930430.0120000001</v>
      </c>
      <c r="G57" s="18">
        <v>2082214000</v>
      </c>
    </row>
    <row r="58" spans="2:7">
      <c r="B58" s="18" t="s">
        <v>112</v>
      </c>
      <c r="C58" s="18" t="s">
        <v>113</v>
      </c>
      <c r="D58" s="18">
        <v>111101</v>
      </c>
      <c r="E58" s="18" t="s">
        <v>25</v>
      </c>
      <c r="F58" s="19">
        <v>-49378.641999999993</v>
      </c>
      <c r="G58" s="18">
        <v>2091200000</v>
      </c>
    </row>
    <row r="59" spans="2:7">
      <c r="B59" s="18" t="s">
        <v>114</v>
      </c>
      <c r="C59" s="18" t="s">
        <v>115</v>
      </c>
      <c r="D59" s="18">
        <v>111101</v>
      </c>
      <c r="E59" s="18" t="s">
        <v>25</v>
      </c>
      <c r="F59" s="19">
        <v>516250.67</v>
      </c>
      <c r="G59" s="18">
        <v>2091200001</v>
      </c>
    </row>
    <row r="60" spans="2:7">
      <c r="B60" s="18" t="s">
        <v>116</v>
      </c>
      <c r="C60" s="18" t="s">
        <v>117</v>
      </c>
      <c r="D60" s="18">
        <v>111101</v>
      </c>
      <c r="E60" s="18" t="s">
        <v>25</v>
      </c>
      <c r="F60" s="19">
        <v>21593.093999999997</v>
      </c>
      <c r="G60" s="18">
        <v>2092200000</v>
      </c>
    </row>
    <row r="61" spans="2:7">
      <c r="B61" s="18" t="s">
        <v>118</v>
      </c>
      <c r="C61" s="20" t="s">
        <v>119</v>
      </c>
      <c r="D61" s="20">
        <v>111101</v>
      </c>
      <c r="E61" s="20" t="s">
        <v>25</v>
      </c>
      <c r="F61" s="21">
        <v>-2904117.9939999986</v>
      </c>
      <c r="G61" s="20">
        <v>2999999999</v>
      </c>
    </row>
  </sheetData>
  <autoFilter ref="C4:G61" xr:uid="{00000000-0001-0000-03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G86"/>
  <sheetViews>
    <sheetView workbookViewId="0">
      <pane ySplit="4" topLeftCell="A13" activePane="bottomLeft" state="frozen"/>
      <selection pane="bottomLeft" activeCell="C14" sqref="C14"/>
    </sheetView>
  </sheetViews>
  <sheetFormatPr defaultColWidth="9.140625" defaultRowHeight="12" customHeight="1"/>
  <cols>
    <col min="1" max="1" width="2" style="18" customWidth="1"/>
    <col min="2" max="2" width="18.5703125" style="18" customWidth="1"/>
    <col min="3" max="3" width="34.85546875" style="18" bestFit="1" customWidth="1"/>
    <col min="4" max="4" width="24" style="18" customWidth="1"/>
    <col min="5" max="5" width="37.5703125" style="18" bestFit="1" customWidth="1"/>
    <col min="6" max="6" width="11.5703125" style="18" bestFit="1" customWidth="1"/>
    <col min="7" max="7" width="16.5703125" style="18" customWidth="1"/>
    <col min="8" max="16384" width="9.140625" style="18"/>
  </cols>
  <sheetData>
    <row r="1" spans="2:7" ht="15.75">
      <c r="C1" s="17" t="s">
        <v>120</v>
      </c>
    </row>
    <row r="2" spans="2:7"/>
    <row r="3" spans="2:7"/>
    <row r="4" spans="2:7" s="22" customFormat="1">
      <c r="B4" s="22" t="s">
        <v>121</v>
      </c>
      <c r="C4" s="22" t="s">
        <v>8</v>
      </c>
      <c r="D4" s="22" t="s">
        <v>122</v>
      </c>
      <c r="E4" s="22" t="s">
        <v>10</v>
      </c>
      <c r="F4" s="22" t="s">
        <v>11</v>
      </c>
      <c r="G4" s="22" t="s">
        <v>12</v>
      </c>
    </row>
    <row r="5" spans="2:7">
      <c r="B5" s="18" t="s">
        <v>123</v>
      </c>
      <c r="C5" s="18" t="s">
        <v>14</v>
      </c>
      <c r="D5" s="18">
        <v>105</v>
      </c>
      <c r="E5" s="18" t="s">
        <v>94</v>
      </c>
      <c r="F5" s="19">
        <v>-355396.61499999999</v>
      </c>
      <c r="G5" s="18">
        <v>2001110000</v>
      </c>
    </row>
    <row r="6" spans="2:7">
      <c r="B6" s="18" t="s">
        <v>13</v>
      </c>
      <c r="C6" s="18" t="s">
        <v>14</v>
      </c>
      <c r="D6" s="18">
        <v>111111</v>
      </c>
      <c r="E6" s="18" t="s">
        <v>15</v>
      </c>
      <c r="F6" s="19">
        <v>-15792898.75</v>
      </c>
      <c r="G6" s="18">
        <v>2001110000</v>
      </c>
    </row>
    <row r="7" spans="2:7">
      <c r="B7" s="18" t="s">
        <v>16</v>
      </c>
      <c r="C7" s="18" t="s">
        <v>17</v>
      </c>
      <c r="D7" s="18">
        <v>111111</v>
      </c>
      <c r="E7" s="18" t="s">
        <v>15</v>
      </c>
      <c r="F7" s="19">
        <v>-6960217.6449999996</v>
      </c>
      <c r="G7" s="18">
        <v>2001190000</v>
      </c>
    </row>
    <row r="8" spans="2:7">
      <c r="B8" s="18" t="s">
        <v>124</v>
      </c>
      <c r="C8" s="18" t="s">
        <v>18</v>
      </c>
      <c r="D8" s="18" t="s">
        <v>125</v>
      </c>
      <c r="E8" s="18" t="s">
        <v>126</v>
      </c>
      <c r="F8" s="19">
        <v>-420017.14999999997</v>
      </c>
      <c r="G8" s="18">
        <v>2020000000</v>
      </c>
    </row>
    <row r="9" spans="2:7">
      <c r="B9" s="18" t="s">
        <v>20</v>
      </c>
      <c r="C9" s="18" t="s">
        <v>18</v>
      </c>
      <c r="D9" s="18">
        <v>1007</v>
      </c>
      <c r="E9" s="18" t="s">
        <v>21</v>
      </c>
      <c r="F9" s="19">
        <v>-89234.880000000005</v>
      </c>
      <c r="G9" s="18">
        <v>2020000000</v>
      </c>
    </row>
    <row r="10" spans="2:7">
      <c r="B10" s="18" t="s">
        <v>22</v>
      </c>
      <c r="C10" s="18" t="s">
        <v>18</v>
      </c>
      <c r="D10" s="18">
        <v>1008</v>
      </c>
      <c r="E10" s="18" t="s">
        <v>23</v>
      </c>
      <c r="F10" s="19">
        <v>-26173</v>
      </c>
      <c r="G10" s="18">
        <v>2020000000</v>
      </c>
    </row>
    <row r="11" spans="2:7">
      <c r="B11" s="18" t="s">
        <v>24</v>
      </c>
      <c r="C11" s="18" t="s">
        <v>18</v>
      </c>
      <c r="D11" s="18">
        <v>111101</v>
      </c>
      <c r="E11" s="18" t="s">
        <v>25</v>
      </c>
      <c r="F11" s="19">
        <v>-209401.92</v>
      </c>
      <c r="G11" s="18">
        <v>2020000000</v>
      </c>
    </row>
    <row r="12" spans="2:7">
      <c r="B12" s="18" t="s">
        <v>127</v>
      </c>
      <c r="C12" s="18" t="s">
        <v>128</v>
      </c>
      <c r="D12" s="18">
        <v>111111</v>
      </c>
      <c r="E12" s="18" t="s">
        <v>15</v>
      </c>
      <c r="F12" s="19">
        <v>14589.33</v>
      </c>
      <c r="G12" s="18">
        <v>2021210000</v>
      </c>
    </row>
    <row r="13" spans="2:7">
      <c r="B13" s="18" t="s">
        <v>26</v>
      </c>
      <c r="C13" s="18" t="s">
        <v>27</v>
      </c>
      <c r="D13" s="18">
        <v>111111</v>
      </c>
      <c r="E13" s="18" t="s">
        <v>15</v>
      </c>
      <c r="F13" s="19">
        <v>5463188.8250000002</v>
      </c>
      <c r="G13" s="18">
        <v>2021900000</v>
      </c>
    </row>
    <row r="14" spans="2:7">
      <c r="B14" s="18" t="s">
        <v>28</v>
      </c>
      <c r="C14" s="18" t="s">
        <v>29</v>
      </c>
      <c r="D14" s="18">
        <v>111111</v>
      </c>
      <c r="E14" s="18" t="s">
        <v>15</v>
      </c>
      <c r="F14" s="19">
        <v>343675</v>
      </c>
      <c r="G14" s="18">
        <v>2024080000</v>
      </c>
    </row>
    <row r="15" spans="2:7">
      <c r="B15" s="18" t="s">
        <v>129</v>
      </c>
      <c r="C15" s="18" t="s">
        <v>31</v>
      </c>
      <c r="D15" s="18">
        <v>19</v>
      </c>
      <c r="E15" s="18" t="s">
        <v>49</v>
      </c>
      <c r="F15" s="19">
        <v>38521</v>
      </c>
      <c r="G15" s="18">
        <v>2024090000</v>
      </c>
    </row>
    <row r="16" spans="2:7">
      <c r="B16" s="18" t="s">
        <v>30</v>
      </c>
      <c r="C16" s="18" t="s">
        <v>31</v>
      </c>
      <c r="D16" s="18">
        <v>88</v>
      </c>
      <c r="E16" s="18" t="s">
        <v>32</v>
      </c>
      <c r="F16" s="19">
        <v>1980162.23</v>
      </c>
      <c r="G16" s="18">
        <v>2024090000</v>
      </c>
    </row>
    <row r="17" spans="2:7">
      <c r="B17" s="18" t="s">
        <v>130</v>
      </c>
      <c r="C17" s="18" t="s">
        <v>31</v>
      </c>
      <c r="D17" s="18" t="s">
        <v>131</v>
      </c>
      <c r="E17" s="18" t="s">
        <v>132</v>
      </c>
      <c r="F17" s="19">
        <v>1820</v>
      </c>
      <c r="G17" s="18">
        <v>2024090000</v>
      </c>
    </row>
    <row r="18" spans="2:7">
      <c r="B18" s="18" t="s">
        <v>133</v>
      </c>
      <c r="C18" s="18" t="s">
        <v>31</v>
      </c>
      <c r="D18" s="18" t="s">
        <v>134</v>
      </c>
      <c r="E18" s="18" t="s">
        <v>135</v>
      </c>
      <c r="F18" s="19">
        <v>10448.129999999999</v>
      </c>
      <c r="G18" s="18">
        <v>2024090000</v>
      </c>
    </row>
    <row r="19" spans="2:7">
      <c r="B19" s="18" t="s">
        <v>136</v>
      </c>
      <c r="C19" s="18" t="s">
        <v>31</v>
      </c>
      <c r="D19" s="18" t="s">
        <v>137</v>
      </c>
      <c r="E19" s="18" t="s">
        <v>138</v>
      </c>
      <c r="F19" s="19">
        <v>10412.5</v>
      </c>
      <c r="G19" s="18">
        <v>2024090000</v>
      </c>
    </row>
    <row r="20" spans="2:7">
      <c r="B20" s="18" t="s">
        <v>33</v>
      </c>
      <c r="C20" s="18" t="s">
        <v>31</v>
      </c>
      <c r="D20" s="18">
        <v>111111</v>
      </c>
      <c r="E20" s="18" t="s">
        <v>15</v>
      </c>
      <c r="F20" s="19">
        <v>27148.625</v>
      </c>
      <c r="G20" s="18">
        <v>2024090000</v>
      </c>
    </row>
    <row r="21" spans="2:7">
      <c r="B21" s="18" t="s">
        <v>34</v>
      </c>
      <c r="C21" s="18" t="s">
        <v>35</v>
      </c>
      <c r="D21" s="18">
        <v>111111</v>
      </c>
      <c r="E21" s="18" t="s">
        <v>15</v>
      </c>
      <c r="F21" s="19">
        <v>5507141.0549999997</v>
      </c>
      <c r="G21" s="18">
        <v>2041000000</v>
      </c>
    </row>
    <row r="22" spans="2:7">
      <c r="B22" s="18" t="s">
        <v>36</v>
      </c>
      <c r="C22" s="18" t="s">
        <v>139</v>
      </c>
      <c r="D22" s="18">
        <v>111101</v>
      </c>
      <c r="E22" s="18" t="s">
        <v>25</v>
      </c>
      <c r="F22" s="19">
        <v>1752994.18</v>
      </c>
      <c r="G22" s="18">
        <v>2042000000</v>
      </c>
    </row>
    <row r="23" spans="2:7">
      <c r="B23" s="18" t="s">
        <v>36</v>
      </c>
      <c r="C23" s="18" t="s">
        <v>37</v>
      </c>
      <c r="D23" s="18">
        <v>111101</v>
      </c>
      <c r="E23" s="18" t="s">
        <v>25</v>
      </c>
      <c r="F23" s="19">
        <v>304303.86000000004</v>
      </c>
      <c r="G23" s="18">
        <v>2042000000</v>
      </c>
    </row>
    <row r="24" spans="2:7">
      <c r="B24" s="18" t="s">
        <v>39</v>
      </c>
      <c r="C24" s="18" t="s">
        <v>40</v>
      </c>
      <c r="D24" s="18">
        <v>111101</v>
      </c>
      <c r="E24" s="18" t="s">
        <v>25</v>
      </c>
      <c r="F24" s="19">
        <v>500500</v>
      </c>
      <c r="G24" s="18">
        <v>2045000000</v>
      </c>
    </row>
    <row r="25" spans="2:7">
      <c r="B25" s="18" t="s">
        <v>140</v>
      </c>
      <c r="C25" s="18" t="s">
        <v>141</v>
      </c>
      <c r="D25" s="18">
        <v>111101</v>
      </c>
      <c r="E25" s="18" t="s">
        <v>25</v>
      </c>
      <c r="F25" s="19">
        <v>6919.8499999999995</v>
      </c>
      <c r="G25" s="18">
        <v>2049000000</v>
      </c>
    </row>
    <row r="26" spans="2:7">
      <c r="B26" s="18" t="s">
        <v>41</v>
      </c>
      <c r="C26" s="18" t="s">
        <v>42</v>
      </c>
      <c r="D26" s="18">
        <v>111101</v>
      </c>
      <c r="E26" s="18" t="s">
        <v>25</v>
      </c>
      <c r="F26" s="19">
        <v>1897676.87</v>
      </c>
      <c r="G26" s="18">
        <v>2051210000</v>
      </c>
    </row>
    <row r="27" spans="2:7">
      <c r="B27" s="18" t="s">
        <v>142</v>
      </c>
      <c r="C27" s="18" t="s">
        <v>42</v>
      </c>
      <c r="D27" s="18">
        <v>111101</v>
      </c>
      <c r="E27" s="18" t="s">
        <v>25</v>
      </c>
      <c r="F27" s="19">
        <v>146328.94499999998</v>
      </c>
      <c r="G27" s="18">
        <v>2051260000</v>
      </c>
    </row>
    <row r="28" spans="2:7">
      <c r="B28" s="18" t="s">
        <v>143</v>
      </c>
      <c r="C28" s="18" t="s">
        <v>144</v>
      </c>
      <c r="D28" s="18">
        <v>111111</v>
      </c>
      <c r="E28" s="18" t="s">
        <v>15</v>
      </c>
      <c r="F28" s="19">
        <v>-121553.07499999998</v>
      </c>
      <c r="G28" s="18">
        <v>2060220000</v>
      </c>
    </row>
    <row r="29" spans="2:7">
      <c r="B29" s="18" t="s">
        <v>44</v>
      </c>
      <c r="C29" s="18" t="s">
        <v>45</v>
      </c>
      <c r="D29" s="18" t="s">
        <v>46</v>
      </c>
      <c r="E29" s="18" t="s">
        <v>47</v>
      </c>
      <c r="F29" s="19">
        <v>-1643711.145</v>
      </c>
      <c r="G29" s="18">
        <v>2069010000</v>
      </c>
    </row>
    <row r="30" spans="2:7">
      <c r="B30" s="18" t="s">
        <v>145</v>
      </c>
      <c r="C30" s="18" t="s">
        <v>45</v>
      </c>
      <c r="D30" s="18">
        <v>19</v>
      </c>
      <c r="E30" s="18" t="s">
        <v>49</v>
      </c>
      <c r="F30" s="19">
        <v>-416278.66</v>
      </c>
      <c r="G30" s="18">
        <v>2069010000</v>
      </c>
    </row>
    <row r="31" spans="2:7">
      <c r="B31" s="18" t="s">
        <v>146</v>
      </c>
      <c r="C31" s="18" t="s">
        <v>45</v>
      </c>
      <c r="D31" s="18" t="s">
        <v>147</v>
      </c>
      <c r="E31" s="18" t="s">
        <v>148</v>
      </c>
      <c r="F31" s="19">
        <v>-364243.84499999997</v>
      </c>
      <c r="G31" s="18">
        <v>2069010000</v>
      </c>
    </row>
    <row r="32" spans="2:7">
      <c r="B32" s="18" t="s">
        <v>149</v>
      </c>
      <c r="C32" s="18" t="s">
        <v>45</v>
      </c>
      <c r="D32" s="18" t="s">
        <v>125</v>
      </c>
      <c r="E32" s="18" t="s">
        <v>126</v>
      </c>
      <c r="F32" s="19">
        <v>0</v>
      </c>
      <c r="G32" s="18">
        <v>2069010000</v>
      </c>
    </row>
    <row r="33" spans="2:7">
      <c r="B33" s="18" t="s">
        <v>55</v>
      </c>
      <c r="C33" s="18" t="s">
        <v>45</v>
      </c>
      <c r="D33" s="18">
        <v>1009</v>
      </c>
      <c r="E33" s="18" t="s">
        <v>19</v>
      </c>
      <c r="F33" s="19">
        <v>0</v>
      </c>
      <c r="G33" s="18">
        <v>2069010000</v>
      </c>
    </row>
    <row r="34" spans="2:7">
      <c r="B34" s="18" t="s">
        <v>56</v>
      </c>
      <c r="C34" s="18" t="s">
        <v>45</v>
      </c>
      <c r="D34" s="18">
        <v>1007</v>
      </c>
      <c r="E34" s="18" t="s">
        <v>21</v>
      </c>
      <c r="F34" s="19">
        <v>0</v>
      </c>
      <c r="G34" s="18">
        <v>2069010000</v>
      </c>
    </row>
    <row r="35" spans="2:7">
      <c r="B35" s="18" t="s">
        <v>57</v>
      </c>
      <c r="C35" s="18" t="s">
        <v>45</v>
      </c>
      <c r="D35" s="18">
        <v>1008</v>
      </c>
      <c r="E35" s="18" t="s">
        <v>23</v>
      </c>
      <c r="F35" s="19">
        <v>0</v>
      </c>
      <c r="G35" s="18">
        <v>2069010000</v>
      </c>
    </row>
    <row r="36" spans="2:7">
      <c r="B36" s="18" t="s">
        <v>58</v>
      </c>
      <c r="C36" s="18" t="s">
        <v>45</v>
      </c>
      <c r="D36" s="18">
        <v>1240</v>
      </c>
      <c r="E36" s="18" t="s">
        <v>59</v>
      </c>
      <c r="F36" s="19">
        <v>-10461.36</v>
      </c>
      <c r="G36" s="18">
        <v>2069010000</v>
      </c>
    </row>
    <row r="37" spans="2:7">
      <c r="B37" s="18" t="s">
        <v>56</v>
      </c>
      <c r="C37" s="18" t="s">
        <v>45</v>
      </c>
      <c r="D37" s="18">
        <v>1007</v>
      </c>
      <c r="E37" s="18" t="s">
        <v>150</v>
      </c>
      <c r="F37" s="19">
        <v>0</v>
      </c>
      <c r="G37" s="18">
        <v>2069010000</v>
      </c>
    </row>
    <row r="38" spans="2:7">
      <c r="B38" s="18" t="s">
        <v>151</v>
      </c>
      <c r="C38" s="18" t="s">
        <v>45</v>
      </c>
      <c r="D38" s="18" t="s">
        <v>152</v>
      </c>
      <c r="E38" s="18" t="s">
        <v>153</v>
      </c>
      <c r="F38" s="19">
        <v>-482611.04499999998</v>
      </c>
      <c r="G38" s="18">
        <v>2069010000</v>
      </c>
    </row>
    <row r="39" spans="2:7">
      <c r="B39" s="18" t="s">
        <v>60</v>
      </c>
      <c r="C39" s="18" t="s">
        <v>45</v>
      </c>
      <c r="D39" s="18">
        <v>111111</v>
      </c>
      <c r="E39" s="18" t="s">
        <v>15</v>
      </c>
      <c r="F39" s="19">
        <v>-6785.94</v>
      </c>
      <c r="G39" s="18">
        <v>2069010000</v>
      </c>
    </row>
    <row r="40" spans="2:7">
      <c r="B40" s="18" t="s">
        <v>154</v>
      </c>
      <c r="C40" s="18" t="s">
        <v>62</v>
      </c>
      <c r="D40" s="18">
        <v>88</v>
      </c>
      <c r="E40" s="18" t="s">
        <v>32</v>
      </c>
      <c r="F40" s="19">
        <v>-2436.35</v>
      </c>
      <c r="G40" s="18">
        <v>2069980000</v>
      </c>
    </row>
    <row r="41" spans="2:7">
      <c r="B41" s="18" t="s">
        <v>61</v>
      </c>
      <c r="C41" s="18" t="s">
        <v>62</v>
      </c>
      <c r="D41" s="18">
        <v>111111</v>
      </c>
      <c r="E41" s="18" t="s">
        <v>15</v>
      </c>
      <c r="F41" s="19">
        <v>9793.84</v>
      </c>
      <c r="G41" s="18">
        <v>2069980000</v>
      </c>
    </row>
    <row r="42" spans="2:7">
      <c r="B42" s="18" t="s">
        <v>155</v>
      </c>
      <c r="C42" s="18" t="s">
        <v>156</v>
      </c>
      <c r="D42" s="18">
        <v>111101</v>
      </c>
      <c r="E42" s="18" t="s">
        <v>25</v>
      </c>
      <c r="F42" s="19">
        <v>81.339999999999989</v>
      </c>
      <c r="G42" s="18">
        <v>2070290000</v>
      </c>
    </row>
    <row r="43" spans="2:7">
      <c r="B43" s="18" t="s">
        <v>63</v>
      </c>
      <c r="C43" s="18" t="s">
        <v>64</v>
      </c>
      <c r="D43" s="18">
        <v>111111</v>
      </c>
      <c r="E43" s="18" t="s">
        <v>15</v>
      </c>
      <c r="F43" s="19">
        <v>65947.7</v>
      </c>
      <c r="G43" s="18">
        <v>2070400000</v>
      </c>
    </row>
    <row r="44" spans="2:7">
      <c r="B44" s="18" t="s">
        <v>67</v>
      </c>
      <c r="C44" s="18" t="s">
        <v>66</v>
      </c>
      <c r="D44" s="18">
        <v>111111</v>
      </c>
      <c r="E44" s="18" t="s">
        <v>15</v>
      </c>
      <c r="F44" s="19">
        <v>5138.91</v>
      </c>
      <c r="G44" s="18">
        <v>2070500000</v>
      </c>
    </row>
    <row r="45" spans="2:7">
      <c r="B45" s="18" t="s">
        <v>68</v>
      </c>
      <c r="C45" s="18" t="s">
        <v>69</v>
      </c>
      <c r="D45" s="18">
        <v>111111</v>
      </c>
      <c r="E45" s="18" t="s">
        <v>15</v>
      </c>
      <c r="F45" s="19">
        <v>1055381.4750000001</v>
      </c>
      <c r="G45" s="18">
        <v>2070600000</v>
      </c>
    </row>
    <row r="46" spans="2:7">
      <c r="B46" s="18" t="s">
        <v>74</v>
      </c>
      <c r="C46" s="18" t="s">
        <v>71</v>
      </c>
      <c r="D46" s="18" t="s">
        <v>75</v>
      </c>
      <c r="E46" s="18" t="s">
        <v>76</v>
      </c>
      <c r="F46" s="19">
        <v>430845.34499999997</v>
      </c>
      <c r="G46" s="18">
        <v>2070900000</v>
      </c>
    </row>
    <row r="47" spans="2:7">
      <c r="B47" s="18" t="s">
        <v>157</v>
      </c>
      <c r="C47" s="18" t="s">
        <v>71</v>
      </c>
      <c r="D47" s="18">
        <v>105</v>
      </c>
      <c r="E47" s="18" t="s">
        <v>94</v>
      </c>
      <c r="F47" s="19">
        <v>276920</v>
      </c>
      <c r="G47" s="18">
        <v>2070900000</v>
      </c>
    </row>
    <row r="48" spans="2:7">
      <c r="B48" s="18" t="s">
        <v>77</v>
      </c>
      <c r="C48" s="18" t="s">
        <v>71</v>
      </c>
      <c r="D48" s="18">
        <v>111111</v>
      </c>
      <c r="E48" s="18" t="s">
        <v>15</v>
      </c>
      <c r="F48" s="19">
        <v>1130021</v>
      </c>
      <c r="G48" s="18">
        <v>2070900000</v>
      </c>
    </row>
    <row r="49" spans="2:7">
      <c r="B49" s="18" t="s">
        <v>78</v>
      </c>
      <c r="C49" s="18" t="s">
        <v>79</v>
      </c>
      <c r="D49" s="18">
        <v>111111</v>
      </c>
      <c r="E49" s="18" t="s">
        <v>15</v>
      </c>
      <c r="F49" s="19">
        <v>7293.5450000000001</v>
      </c>
      <c r="G49" s="18">
        <v>2071000000</v>
      </c>
    </row>
    <row r="50" spans="2:7">
      <c r="B50" s="18" t="s">
        <v>158</v>
      </c>
      <c r="C50" s="18" t="s">
        <v>81</v>
      </c>
      <c r="D50" s="18">
        <v>1900</v>
      </c>
      <c r="E50" s="18" t="s">
        <v>159</v>
      </c>
      <c r="F50" s="19">
        <v>0</v>
      </c>
      <c r="G50" s="18">
        <v>2071100000</v>
      </c>
    </row>
    <row r="51" spans="2:7">
      <c r="B51" s="18" t="s">
        <v>80</v>
      </c>
      <c r="C51" s="18" t="s">
        <v>81</v>
      </c>
      <c r="D51" s="18">
        <v>111111</v>
      </c>
      <c r="E51" s="18" t="s">
        <v>15</v>
      </c>
      <c r="F51" s="19">
        <v>48468.665000000001</v>
      </c>
      <c r="G51" s="18">
        <v>2071100000</v>
      </c>
    </row>
    <row r="52" spans="2:7">
      <c r="B52" s="18" t="s">
        <v>160</v>
      </c>
      <c r="C52" s="18" t="s">
        <v>83</v>
      </c>
      <c r="D52" s="18" t="s">
        <v>161</v>
      </c>
      <c r="E52" s="18" t="s">
        <v>162</v>
      </c>
      <c r="F52" s="19">
        <v>23928.799999999999</v>
      </c>
      <c r="G52" s="18">
        <v>2071209200</v>
      </c>
    </row>
    <row r="53" spans="2:7">
      <c r="B53" s="18" t="s">
        <v>82</v>
      </c>
      <c r="C53" s="18" t="s">
        <v>83</v>
      </c>
      <c r="D53" s="18">
        <v>111111</v>
      </c>
      <c r="E53" s="18" t="s">
        <v>15</v>
      </c>
      <c r="F53" s="19">
        <v>2393259.19</v>
      </c>
      <c r="G53" s="18">
        <v>2071209200</v>
      </c>
    </row>
    <row r="54" spans="2:7">
      <c r="B54" s="18" t="s">
        <v>84</v>
      </c>
      <c r="C54" s="18" t="s">
        <v>85</v>
      </c>
      <c r="D54" s="18">
        <v>111111</v>
      </c>
      <c r="E54" s="18" t="s">
        <v>15</v>
      </c>
      <c r="F54" s="19">
        <v>23069.654999999999</v>
      </c>
      <c r="G54" s="18">
        <v>2071209400</v>
      </c>
    </row>
    <row r="55" spans="2:7">
      <c r="B55" s="18" t="s">
        <v>86</v>
      </c>
      <c r="C55" s="18" t="s">
        <v>87</v>
      </c>
      <c r="D55" s="18">
        <v>111111</v>
      </c>
      <c r="E55" s="18" t="s">
        <v>15</v>
      </c>
      <c r="F55" s="19">
        <v>208366.935</v>
      </c>
      <c r="G55" s="18">
        <v>2071209500</v>
      </c>
    </row>
    <row r="56" spans="2:7">
      <c r="B56" s="18" t="s">
        <v>163</v>
      </c>
      <c r="C56" s="18" t="s">
        <v>164</v>
      </c>
      <c r="D56" s="18">
        <v>111111</v>
      </c>
      <c r="E56" s="18" t="s">
        <v>15</v>
      </c>
      <c r="F56" s="19">
        <v>308232</v>
      </c>
      <c r="G56" s="18">
        <v>2071220000</v>
      </c>
    </row>
    <row r="57" spans="2:7">
      <c r="B57" s="18" t="s">
        <v>165</v>
      </c>
      <c r="C57" s="18" t="s">
        <v>166</v>
      </c>
      <c r="D57" s="18">
        <v>19</v>
      </c>
      <c r="E57" s="18" t="s">
        <v>49</v>
      </c>
      <c r="F57" s="19">
        <v>13422.779999999999</v>
      </c>
      <c r="G57" s="18">
        <v>2071511000</v>
      </c>
    </row>
    <row r="58" spans="2:7">
      <c r="B58" s="18" t="s">
        <v>167</v>
      </c>
      <c r="C58" s="18" t="s">
        <v>166</v>
      </c>
      <c r="D58" s="18">
        <v>111111</v>
      </c>
      <c r="E58" s="18" t="s">
        <v>15</v>
      </c>
      <c r="F58" s="19">
        <v>4045.6150000000002</v>
      </c>
      <c r="G58" s="18">
        <v>2071511000</v>
      </c>
    </row>
    <row r="59" spans="2:7">
      <c r="B59" s="18" t="s">
        <v>168</v>
      </c>
      <c r="C59" s="18" t="s">
        <v>169</v>
      </c>
      <c r="D59" s="18">
        <v>111111</v>
      </c>
      <c r="E59" s="18" t="s">
        <v>15</v>
      </c>
      <c r="F59" s="19">
        <v>49621.144999999997</v>
      </c>
      <c r="G59" s="18">
        <v>2071910000</v>
      </c>
    </row>
    <row r="60" spans="2:7">
      <c r="B60" s="18" t="s">
        <v>88</v>
      </c>
      <c r="C60" s="18" t="s">
        <v>89</v>
      </c>
      <c r="D60" s="18">
        <v>111101</v>
      </c>
      <c r="E60" s="18" t="s">
        <v>25</v>
      </c>
      <c r="F60" s="19">
        <v>20323.309999999998</v>
      </c>
      <c r="G60" s="18">
        <v>2071980000</v>
      </c>
    </row>
    <row r="61" spans="2:7">
      <c r="B61" s="18" t="s">
        <v>90</v>
      </c>
      <c r="C61" s="18" t="s">
        <v>91</v>
      </c>
      <c r="D61" s="18">
        <v>111111</v>
      </c>
      <c r="E61" s="18" t="s">
        <v>15</v>
      </c>
      <c r="F61" s="19">
        <v>169489</v>
      </c>
      <c r="G61" s="18">
        <v>2079022000</v>
      </c>
    </row>
    <row r="62" spans="2:7">
      <c r="B62" s="18" t="s">
        <v>170</v>
      </c>
      <c r="C62" s="18" t="s">
        <v>93</v>
      </c>
      <c r="D62" s="18">
        <v>19</v>
      </c>
      <c r="E62" s="18" t="s">
        <v>49</v>
      </c>
      <c r="F62" s="19">
        <v>85462.684999999998</v>
      </c>
      <c r="G62" s="18">
        <v>2079070000</v>
      </c>
    </row>
    <row r="63" spans="2:7">
      <c r="B63" s="18" t="s">
        <v>171</v>
      </c>
      <c r="C63" s="18" t="s">
        <v>93</v>
      </c>
      <c r="D63" s="18" t="s">
        <v>72</v>
      </c>
      <c r="E63" s="18" t="s">
        <v>73</v>
      </c>
      <c r="F63" s="19">
        <v>11422.144999999999</v>
      </c>
      <c r="G63" s="18">
        <v>2079070000</v>
      </c>
    </row>
    <row r="64" spans="2:7">
      <c r="B64" s="18" t="s">
        <v>172</v>
      </c>
      <c r="C64" s="18" t="s">
        <v>93</v>
      </c>
      <c r="D64" s="18" t="s">
        <v>134</v>
      </c>
      <c r="E64" s="18" t="s">
        <v>135</v>
      </c>
      <c r="F64" s="19">
        <v>84438.864999999991</v>
      </c>
      <c r="G64" s="18">
        <v>2079070000</v>
      </c>
    </row>
    <row r="65" spans="2:7">
      <c r="B65" s="18" t="s">
        <v>95</v>
      </c>
      <c r="C65" s="18" t="s">
        <v>93</v>
      </c>
      <c r="D65" s="18">
        <v>111111</v>
      </c>
      <c r="E65" s="18" t="s">
        <v>15</v>
      </c>
      <c r="F65" s="19">
        <v>638869.13</v>
      </c>
      <c r="G65" s="18">
        <v>2079070000</v>
      </c>
    </row>
    <row r="66" spans="2:7">
      <c r="B66" s="18" t="s">
        <v>173</v>
      </c>
      <c r="C66" s="18" t="s">
        <v>97</v>
      </c>
      <c r="D66" s="18" t="s">
        <v>125</v>
      </c>
      <c r="E66" s="18" t="s">
        <v>126</v>
      </c>
      <c r="F66" s="19">
        <v>0</v>
      </c>
      <c r="G66" s="18">
        <v>2079080000</v>
      </c>
    </row>
    <row r="67" spans="2:7">
      <c r="B67" s="18" t="s">
        <v>98</v>
      </c>
      <c r="C67" s="18" t="s">
        <v>97</v>
      </c>
      <c r="D67" s="18">
        <v>1007</v>
      </c>
      <c r="E67" s="18" t="s">
        <v>21</v>
      </c>
      <c r="F67" s="19">
        <v>0</v>
      </c>
      <c r="G67" s="18">
        <v>2079080000</v>
      </c>
    </row>
    <row r="68" spans="2:7">
      <c r="B68" s="18" t="s">
        <v>99</v>
      </c>
      <c r="C68" s="18" t="s">
        <v>97</v>
      </c>
      <c r="D68" s="18">
        <v>1008</v>
      </c>
      <c r="E68" s="18" t="s">
        <v>23</v>
      </c>
      <c r="F68" s="19">
        <v>0</v>
      </c>
      <c r="G68" s="18">
        <v>2079080000</v>
      </c>
    </row>
    <row r="69" spans="2:7">
      <c r="B69" s="18" t="s">
        <v>174</v>
      </c>
      <c r="C69" s="18" t="s">
        <v>101</v>
      </c>
      <c r="D69" s="18" t="s">
        <v>125</v>
      </c>
      <c r="E69" s="18" t="s">
        <v>126</v>
      </c>
      <c r="F69" s="19">
        <v>0</v>
      </c>
      <c r="G69" s="18">
        <v>2082280000</v>
      </c>
    </row>
    <row r="70" spans="2:7">
      <c r="B70" s="18" t="s">
        <v>100</v>
      </c>
      <c r="C70" s="18" t="s">
        <v>101</v>
      </c>
      <c r="D70" s="18">
        <v>1009</v>
      </c>
      <c r="E70" s="18" t="s">
        <v>19</v>
      </c>
      <c r="F70" s="19">
        <v>0</v>
      </c>
      <c r="G70" s="18">
        <v>2082280000</v>
      </c>
    </row>
    <row r="71" spans="2:7">
      <c r="B71" s="18" t="s">
        <v>102</v>
      </c>
      <c r="C71" s="18" t="s">
        <v>101</v>
      </c>
      <c r="D71" s="18">
        <v>1007</v>
      </c>
      <c r="E71" s="18" t="s">
        <v>21</v>
      </c>
      <c r="F71" s="19">
        <v>0</v>
      </c>
      <c r="G71" s="18">
        <v>2082280000</v>
      </c>
    </row>
    <row r="72" spans="2:7">
      <c r="B72" s="18" t="s">
        <v>103</v>
      </c>
      <c r="C72" s="18" t="s">
        <v>101</v>
      </c>
      <c r="D72" s="18">
        <v>1008</v>
      </c>
      <c r="E72" s="18" t="s">
        <v>23</v>
      </c>
      <c r="F72" s="19">
        <v>0</v>
      </c>
      <c r="G72" s="18">
        <v>2082280000</v>
      </c>
    </row>
    <row r="73" spans="2:7">
      <c r="B73" s="18" t="s">
        <v>104</v>
      </c>
      <c r="C73" s="18" t="s">
        <v>101</v>
      </c>
      <c r="D73" s="18">
        <v>1240</v>
      </c>
      <c r="E73" s="18" t="s">
        <v>59</v>
      </c>
      <c r="F73" s="19">
        <v>-34224.959999999999</v>
      </c>
      <c r="G73" s="18">
        <v>2082280000</v>
      </c>
    </row>
    <row r="74" spans="2:7">
      <c r="B74" s="18" t="s">
        <v>175</v>
      </c>
      <c r="C74" s="18" t="s">
        <v>101</v>
      </c>
      <c r="D74" s="18">
        <v>1006</v>
      </c>
      <c r="E74" s="18" t="s">
        <v>176</v>
      </c>
      <c r="F74" s="19">
        <v>-6778.415</v>
      </c>
      <c r="G74" s="18">
        <v>2082280000</v>
      </c>
    </row>
    <row r="75" spans="2:7">
      <c r="B75" s="18" t="s">
        <v>102</v>
      </c>
      <c r="C75" s="18" t="s">
        <v>101</v>
      </c>
      <c r="D75" s="18">
        <v>1007</v>
      </c>
      <c r="E75" s="18" t="s">
        <v>150</v>
      </c>
      <c r="F75" s="19">
        <v>0</v>
      </c>
      <c r="G75" s="18">
        <v>2082280000</v>
      </c>
    </row>
    <row r="76" spans="2:7">
      <c r="B76" s="18" t="s">
        <v>105</v>
      </c>
      <c r="C76" s="18" t="s">
        <v>101</v>
      </c>
      <c r="D76" s="18">
        <v>111111</v>
      </c>
      <c r="E76" s="18" t="s">
        <v>15</v>
      </c>
      <c r="F76" s="19">
        <v>-2204.7199999999998</v>
      </c>
      <c r="G76" s="18">
        <v>2082280000</v>
      </c>
    </row>
    <row r="77" spans="2:7">
      <c r="B77" s="18" t="s">
        <v>108</v>
      </c>
      <c r="C77" s="18" t="s">
        <v>109</v>
      </c>
      <c r="D77" s="18">
        <v>111101</v>
      </c>
      <c r="E77" s="18" t="s">
        <v>25</v>
      </c>
      <c r="F77" s="19">
        <v>80617.179999999993</v>
      </c>
      <c r="G77" s="18">
        <v>2082208200</v>
      </c>
    </row>
    <row r="78" spans="2:7">
      <c r="B78" s="18" t="s">
        <v>110</v>
      </c>
      <c r="C78" s="18" t="s">
        <v>111</v>
      </c>
      <c r="D78" s="18">
        <v>88</v>
      </c>
      <c r="E78" s="18" t="s">
        <v>32</v>
      </c>
      <c r="F78" s="19">
        <v>2752704.22</v>
      </c>
      <c r="G78" s="18">
        <v>2082214000</v>
      </c>
    </row>
    <row r="79" spans="2:7">
      <c r="B79" s="18" t="s">
        <v>177</v>
      </c>
      <c r="C79" s="18" t="s">
        <v>111</v>
      </c>
      <c r="D79" s="18">
        <v>1007</v>
      </c>
      <c r="E79" s="18" t="s">
        <v>150</v>
      </c>
      <c r="F79" s="19">
        <v>0</v>
      </c>
      <c r="G79" s="18">
        <v>2082214000</v>
      </c>
    </row>
    <row r="80" spans="2:7">
      <c r="B80" s="18" t="s">
        <v>178</v>
      </c>
      <c r="C80" s="18" t="s">
        <v>111</v>
      </c>
      <c r="D80" s="18">
        <v>111111</v>
      </c>
      <c r="E80" s="18" t="s">
        <v>15</v>
      </c>
      <c r="F80" s="19">
        <v>1250.7950000000001</v>
      </c>
      <c r="G80" s="18">
        <v>2082214000</v>
      </c>
    </row>
    <row r="81" spans="2:7">
      <c r="B81" s="18" t="s">
        <v>179</v>
      </c>
      <c r="C81" s="18" t="s">
        <v>180</v>
      </c>
      <c r="D81" s="18">
        <v>1240</v>
      </c>
      <c r="E81" s="18" t="s">
        <v>59</v>
      </c>
      <c r="F81" s="19">
        <v>4130000</v>
      </c>
      <c r="G81" s="18">
        <v>2082110000</v>
      </c>
    </row>
    <row r="82" spans="2:7">
      <c r="B82" s="18" t="s">
        <v>112</v>
      </c>
      <c r="C82" s="18" t="s">
        <v>113</v>
      </c>
      <c r="D82" s="18">
        <v>111101</v>
      </c>
      <c r="E82" s="18" t="s">
        <v>25</v>
      </c>
      <c r="F82" s="19">
        <v>496748.70000000007</v>
      </c>
      <c r="G82" s="18">
        <v>2091200000</v>
      </c>
    </row>
    <row r="83" spans="2:7">
      <c r="B83" s="18" t="s">
        <v>114</v>
      </c>
      <c r="C83" s="18" t="s">
        <v>115</v>
      </c>
      <c r="D83" s="18">
        <v>111101</v>
      </c>
      <c r="E83" s="18" t="s">
        <v>25</v>
      </c>
      <c r="F83" s="19">
        <v>480872.96000000002</v>
      </c>
      <c r="G83" s="18">
        <v>2091200001</v>
      </c>
    </row>
    <row r="84" spans="2:7">
      <c r="B84" s="18" t="s">
        <v>181</v>
      </c>
      <c r="C84" s="18" t="s">
        <v>182</v>
      </c>
      <c r="D84" s="18">
        <v>111101</v>
      </c>
      <c r="E84" s="18" t="s">
        <v>25</v>
      </c>
      <c r="F84" s="19">
        <v>0</v>
      </c>
      <c r="G84" s="18">
        <v>2091900000</v>
      </c>
    </row>
    <row r="85" spans="2:7">
      <c r="B85" s="18" t="s">
        <v>116</v>
      </c>
      <c r="C85" s="18" t="s">
        <v>117</v>
      </c>
      <c r="D85" s="18">
        <v>111101</v>
      </c>
      <c r="E85" s="18" t="s">
        <v>25</v>
      </c>
      <c r="F85" s="19">
        <v>6570.3050000000003</v>
      </c>
      <c r="G85" s="18">
        <v>2092200000</v>
      </c>
    </row>
    <row r="86" spans="2:7">
      <c r="B86" s="18" t="s">
        <v>183</v>
      </c>
      <c r="C86" s="20" t="s">
        <v>119</v>
      </c>
      <c r="D86" s="20">
        <v>111101</v>
      </c>
      <c r="E86" s="20" t="s">
        <v>25</v>
      </c>
      <c r="F86" s="21">
        <v>6073808.1600000001</v>
      </c>
      <c r="G86" s="20">
        <v>2111111999</v>
      </c>
    </row>
  </sheetData>
  <autoFilter ref="C4:G86" xr:uid="{00000000-0001-0000-04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B1:G86"/>
  <sheetViews>
    <sheetView workbookViewId="0">
      <pane ySplit="4" topLeftCell="C5" activePane="bottomLeft" state="frozen"/>
      <selection pane="bottomLeft" activeCell="C14" sqref="C14"/>
    </sheetView>
  </sheetViews>
  <sheetFormatPr defaultColWidth="9.140625" defaultRowHeight="12" customHeight="1"/>
  <cols>
    <col min="1" max="1" width="2" style="18" customWidth="1"/>
    <col min="2" max="2" width="18.5703125" style="18" customWidth="1"/>
    <col min="3" max="3" width="29.5703125" style="18" customWidth="1"/>
    <col min="4" max="4" width="23.5703125" style="18" customWidth="1"/>
    <col min="5" max="5" width="30.85546875" style="18" bestFit="1" customWidth="1"/>
    <col min="6" max="6" width="11.5703125" style="18" bestFit="1" customWidth="1"/>
    <col min="7" max="7" width="16.5703125" style="18" customWidth="1"/>
    <col min="8" max="16384" width="9.140625" style="18"/>
  </cols>
  <sheetData>
    <row r="1" spans="2:7" ht="15.75">
      <c r="C1" s="17" t="s">
        <v>184</v>
      </c>
    </row>
    <row r="2" spans="2:7"/>
    <row r="3" spans="2:7"/>
    <row r="4" spans="2:7" s="22" customFormat="1">
      <c r="B4" s="22" t="s">
        <v>185</v>
      </c>
      <c r="C4" s="22" t="s">
        <v>8</v>
      </c>
      <c r="D4" s="22" t="s">
        <v>122</v>
      </c>
      <c r="E4" s="22" t="s">
        <v>10</v>
      </c>
      <c r="F4" s="22" t="s">
        <v>11</v>
      </c>
      <c r="G4" s="22" t="s">
        <v>12</v>
      </c>
    </row>
    <row r="5" spans="2:7">
      <c r="B5" s="18" t="str">
        <f>+G5&amp;D5</f>
        <v>2001110000105</v>
      </c>
      <c r="C5" s="18" t="s">
        <v>14</v>
      </c>
      <c r="D5" s="18">
        <v>105</v>
      </c>
      <c r="E5" s="18" t="s">
        <v>94</v>
      </c>
      <c r="F5" s="19">
        <v>-616462.01899999997</v>
      </c>
      <c r="G5" s="18">
        <v>2001110000</v>
      </c>
    </row>
    <row r="6" spans="2:7">
      <c r="B6" s="18" t="str">
        <f>+G6&amp;D6</f>
        <v>2001110000111111</v>
      </c>
      <c r="C6" s="18" t="s">
        <v>14</v>
      </c>
      <c r="D6" s="18">
        <v>111111</v>
      </c>
      <c r="E6" s="18" t="s">
        <v>15</v>
      </c>
      <c r="F6" s="19">
        <v>-14431341</v>
      </c>
      <c r="G6" s="18">
        <v>2001110000</v>
      </c>
    </row>
    <row r="7" spans="2:7">
      <c r="B7" s="18" t="str">
        <f>+G7&amp;D7</f>
        <v>2001190000111111</v>
      </c>
      <c r="C7" s="18" t="s">
        <v>17</v>
      </c>
      <c r="D7" s="18">
        <v>111111</v>
      </c>
      <c r="E7" s="18" t="s">
        <v>15</v>
      </c>
      <c r="F7" s="19">
        <v>-6373617.5140000004</v>
      </c>
      <c r="G7" s="18">
        <v>2001190000</v>
      </c>
    </row>
    <row r="8" spans="2:7">
      <c r="B8" s="18" t="str">
        <f>+G8&amp;D8</f>
        <v>2021210000111111</v>
      </c>
      <c r="C8" s="18" t="s">
        <v>186</v>
      </c>
      <c r="D8" s="18">
        <v>111111</v>
      </c>
      <c r="E8" s="18" t="s">
        <v>15</v>
      </c>
      <c r="F8" s="19">
        <v>20504.509999999998</v>
      </c>
      <c r="G8" s="18">
        <v>2021210000</v>
      </c>
    </row>
    <row r="9" spans="2:7">
      <c r="B9" s="18" t="str">
        <f>+G9&amp;D9</f>
        <v>2021900000111111</v>
      </c>
      <c r="C9" s="18" t="s">
        <v>27</v>
      </c>
      <c r="D9" s="18">
        <v>111111</v>
      </c>
      <c r="E9" s="18" t="s">
        <v>15</v>
      </c>
      <c r="F9" s="19">
        <v>5674152.0669999998</v>
      </c>
      <c r="G9" s="18">
        <v>2021900000</v>
      </c>
    </row>
    <row r="10" spans="2:7">
      <c r="B10" s="18" t="str">
        <f>+G10&amp;D10</f>
        <v>2024020000111111</v>
      </c>
      <c r="C10" s="18" t="s">
        <v>187</v>
      </c>
      <c r="D10" s="18">
        <v>111111</v>
      </c>
      <c r="E10" s="18" t="s">
        <v>15</v>
      </c>
      <c r="F10" s="19">
        <v>13691.949999999999</v>
      </c>
      <c r="G10" s="18">
        <v>2024020000</v>
      </c>
    </row>
    <row r="11" spans="2:7">
      <c r="B11" s="18" t="str">
        <f>+G11&amp;D11</f>
        <v>2024080000111111</v>
      </c>
      <c r="C11" s="18" t="s">
        <v>29</v>
      </c>
      <c r="D11" s="18">
        <v>111111</v>
      </c>
      <c r="E11" s="18" t="s">
        <v>15</v>
      </c>
      <c r="F11" s="19">
        <v>350370.99399999995</v>
      </c>
      <c r="G11" s="18">
        <v>2024080000</v>
      </c>
    </row>
    <row r="12" spans="2:7">
      <c r="B12" s="18" t="str">
        <f>+G12&amp;D12</f>
        <v>202409000088</v>
      </c>
      <c r="C12" s="18" t="s">
        <v>31</v>
      </c>
      <c r="D12" s="18">
        <v>88</v>
      </c>
      <c r="E12" s="18" t="s">
        <v>32</v>
      </c>
      <c r="F12" s="19">
        <v>3116017.1540000001</v>
      </c>
      <c r="G12" s="18">
        <v>2024090000</v>
      </c>
    </row>
    <row r="13" spans="2:7">
      <c r="B13" s="18" t="str">
        <f>+G13&amp;D13</f>
        <v>20240900001283</v>
      </c>
      <c r="C13" s="18" t="s">
        <v>31</v>
      </c>
      <c r="D13" s="18" t="s">
        <v>131</v>
      </c>
      <c r="E13" s="18" t="s">
        <v>132</v>
      </c>
      <c r="F13" s="19">
        <v>0</v>
      </c>
      <c r="G13" s="18">
        <v>2024090000</v>
      </c>
    </row>
    <row r="14" spans="2:7">
      <c r="B14" s="18" t="str">
        <f>+G14&amp;D14</f>
        <v>20240900001924</v>
      </c>
      <c r="C14" s="18" t="s">
        <v>31</v>
      </c>
      <c r="D14" s="18" t="s">
        <v>134</v>
      </c>
      <c r="E14" s="18" t="s">
        <v>135</v>
      </c>
      <c r="F14" s="19">
        <v>673.34299999999985</v>
      </c>
      <c r="G14" s="18">
        <v>2024090000</v>
      </c>
    </row>
    <row r="15" spans="2:7">
      <c r="B15" s="18" t="str">
        <f>+G15&amp;D15</f>
        <v>20240900002185</v>
      </c>
      <c r="C15" s="18" t="s">
        <v>31</v>
      </c>
      <c r="D15" s="18" t="s">
        <v>188</v>
      </c>
      <c r="E15" s="18" t="s">
        <v>189</v>
      </c>
      <c r="F15" s="19">
        <v>192017.14499999996</v>
      </c>
      <c r="G15" s="18">
        <v>2024090000</v>
      </c>
    </row>
    <row r="16" spans="2:7">
      <c r="B16" s="18" t="str">
        <f>+G16&amp;D16</f>
        <v>20240900002240</v>
      </c>
      <c r="C16" s="18" t="s">
        <v>31</v>
      </c>
      <c r="D16" s="18" t="s">
        <v>75</v>
      </c>
      <c r="E16" s="18" t="s">
        <v>76</v>
      </c>
      <c r="F16" s="19">
        <v>375290.46599999996</v>
      </c>
      <c r="G16" s="18">
        <v>2024090000</v>
      </c>
    </row>
    <row r="17" spans="2:7">
      <c r="B17" s="18" t="str">
        <f>+G17&amp;D17</f>
        <v>202409000017000</v>
      </c>
      <c r="C17" s="18" t="s">
        <v>31</v>
      </c>
      <c r="D17" s="18">
        <v>17000</v>
      </c>
      <c r="E17" s="18" t="s">
        <v>190</v>
      </c>
      <c r="F17" s="19">
        <v>4920</v>
      </c>
      <c r="G17" s="18">
        <v>2024090000</v>
      </c>
    </row>
    <row r="18" spans="2:7">
      <c r="B18" s="18" t="str">
        <f>+G18&amp;D18</f>
        <v>2024090000111111</v>
      </c>
      <c r="C18" s="18" t="s">
        <v>31</v>
      </c>
      <c r="D18" s="18">
        <v>111111</v>
      </c>
      <c r="E18" s="18" t="s">
        <v>15</v>
      </c>
      <c r="F18" s="19">
        <v>9783.7069999999985</v>
      </c>
      <c r="G18" s="18">
        <v>2024090000</v>
      </c>
    </row>
    <row r="19" spans="2:7">
      <c r="B19" s="18" t="str">
        <f>+G19&amp;D19</f>
        <v>2041000000111111</v>
      </c>
      <c r="C19" s="18" t="s">
        <v>35</v>
      </c>
      <c r="D19" s="18">
        <v>111111</v>
      </c>
      <c r="E19" s="18" t="s">
        <v>15</v>
      </c>
      <c r="F19" s="19">
        <v>3982699.5329999998</v>
      </c>
      <c r="G19" s="18">
        <v>2041000000</v>
      </c>
    </row>
    <row r="20" spans="2:7">
      <c r="B20" s="18" t="str">
        <f>+G20&amp;D20</f>
        <v>2042000000111101</v>
      </c>
      <c r="C20" s="18" t="s">
        <v>139</v>
      </c>
      <c r="D20" s="18">
        <v>111101</v>
      </c>
      <c r="E20" s="18" t="s">
        <v>25</v>
      </c>
      <c r="F20" s="19">
        <v>1420796.8209999998</v>
      </c>
      <c r="G20" s="18">
        <v>2042000000</v>
      </c>
    </row>
    <row r="21" spans="2:7">
      <c r="B21" s="18" t="str">
        <f>+G21&amp;D21</f>
        <v>2042000000111101</v>
      </c>
      <c r="C21" s="18" t="s">
        <v>37</v>
      </c>
      <c r="D21" s="18">
        <v>111101</v>
      </c>
      <c r="E21" s="18" t="s">
        <v>25</v>
      </c>
      <c r="F21" s="19">
        <v>288891.82199999999</v>
      </c>
      <c r="G21" s="18">
        <v>2042000000</v>
      </c>
    </row>
    <row r="22" spans="2:7">
      <c r="B22" s="18" t="str">
        <f>+G22&amp;D22</f>
        <v>2045000000111101</v>
      </c>
      <c r="C22" s="18" t="s">
        <v>40</v>
      </c>
      <c r="D22" s="18">
        <v>111101</v>
      </c>
      <c r="E22" s="18" t="s">
        <v>25</v>
      </c>
      <c r="F22" s="19">
        <v>143500</v>
      </c>
      <c r="G22" s="18">
        <v>2045000000</v>
      </c>
    </row>
    <row r="23" spans="2:7">
      <c r="B23" s="18" t="str">
        <f>+G23&amp;D23</f>
        <v>2051210000111101</v>
      </c>
      <c r="C23" s="18" t="s">
        <v>42</v>
      </c>
      <c r="D23" s="18">
        <v>111101</v>
      </c>
      <c r="E23" s="18" t="s">
        <v>25</v>
      </c>
      <c r="F23" s="19">
        <v>1875768.159</v>
      </c>
      <c r="G23" s="18">
        <v>2051210000</v>
      </c>
    </row>
    <row r="24" spans="2:7">
      <c r="B24" s="18" t="str">
        <f>+G24&amp;D24</f>
        <v>2051260000111101</v>
      </c>
      <c r="C24" s="18" t="s">
        <v>42</v>
      </c>
      <c r="D24" s="18">
        <v>111101</v>
      </c>
      <c r="E24" s="18" t="s">
        <v>25</v>
      </c>
      <c r="F24" s="19">
        <v>12593.355</v>
      </c>
      <c r="G24" s="18">
        <v>2051260000</v>
      </c>
    </row>
    <row r="25" spans="2:7">
      <c r="B25" s="18" t="str">
        <f>+G25&amp;D25</f>
        <v>20604410001118</v>
      </c>
      <c r="C25" s="18" t="s">
        <v>166</v>
      </c>
      <c r="D25" s="18" t="s">
        <v>161</v>
      </c>
      <c r="E25" s="18" t="s">
        <v>162</v>
      </c>
      <c r="F25" s="19">
        <v>0</v>
      </c>
      <c r="G25" s="18">
        <v>2060441000</v>
      </c>
    </row>
    <row r="26" spans="2:7">
      <c r="B26" s="18" t="str">
        <f>+G26&amp;D26</f>
        <v>2060441000111111</v>
      </c>
      <c r="C26" s="18" t="s">
        <v>166</v>
      </c>
      <c r="D26" s="18">
        <v>111111</v>
      </c>
      <c r="E26" s="18" t="s">
        <v>15</v>
      </c>
      <c r="F26" s="19">
        <v>-1252.8369999999998</v>
      </c>
      <c r="G26" s="18">
        <v>2060441000</v>
      </c>
    </row>
    <row r="27" spans="2:7">
      <c r="B27" s="18" t="str">
        <f>+G27&amp;D27</f>
        <v>20690100001</v>
      </c>
      <c r="C27" s="18" t="s">
        <v>45</v>
      </c>
      <c r="D27" s="18" t="s">
        <v>46</v>
      </c>
      <c r="E27" s="18" t="s">
        <v>47</v>
      </c>
      <c r="F27" s="19">
        <v>-1418521.358</v>
      </c>
      <c r="G27" s="18">
        <v>2069010000</v>
      </c>
    </row>
    <row r="28" spans="2:7">
      <c r="B28" s="18" t="str">
        <f>+G28&amp;D28</f>
        <v>206901000019</v>
      </c>
      <c r="C28" s="18" t="s">
        <v>45</v>
      </c>
      <c r="D28" s="18">
        <v>19</v>
      </c>
      <c r="E28" s="18" t="s">
        <v>49</v>
      </c>
      <c r="F28" s="19">
        <v>-622966.38600000006</v>
      </c>
      <c r="G28" s="18">
        <v>2069010000</v>
      </c>
    </row>
    <row r="29" spans="2:7">
      <c r="B29" s="18" t="str">
        <f>+G29&amp;D29</f>
        <v>20690100001076</v>
      </c>
      <c r="C29" s="18" t="s">
        <v>45</v>
      </c>
      <c r="D29" s="18" t="s">
        <v>147</v>
      </c>
      <c r="E29" s="18" t="s">
        <v>148</v>
      </c>
      <c r="F29" s="19">
        <v>0</v>
      </c>
      <c r="G29" s="18">
        <v>2069010000</v>
      </c>
    </row>
    <row r="30" spans="2:7">
      <c r="B30" s="18" t="str">
        <f>+G30&amp;D30</f>
        <v>20690100001086</v>
      </c>
      <c r="C30" s="18" t="s">
        <v>45</v>
      </c>
      <c r="D30" s="18" t="s">
        <v>125</v>
      </c>
      <c r="E30" s="18" t="s">
        <v>126</v>
      </c>
      <c r="F30" s="19">
        <v>0</v>
      </c>
      <c r="G30" s="18">
        <v>2069010000</v>
      </c>
    </row>
    <row r="31" spans="2:7">
      <c r="B31" s="18" t="str">
        <f>+G31&amp;D31</f>
        <v>20690100001009</v>
      </c>
      <c r="C31" s="18" t="s">
        <v>45</v>
      </c>
      <c r="D31" s="18">
        <v>1009</v>
      </c>
      <c r="E31" s="18" t="s">
        <v>19</v>
      </c>
      <c r="F31" s="19">
        <v>0</v>
      </c>
      <c r="G31" s="18">
        <v>2069010000</v>
      </c>
    </row>
    <row r="32" spans="2:7">
      <c r="B32" s="18" t="str">
        <f>+G32&amp;D32</f>
        <v>20690100001007</v>
      </c>
      <c r="C32" s="18" t="s">
        <v>45</v>
      </c>
      <c r="D32" s="18">
        <v>1007</v>
      </c>
      <c r="E32" s="18" t="s">
        <v>21</v>
      </c>
      <c r="F32" s="19">
        <v>0</v>
      </c>
      <c r="G32" s="18">
        <v>2069010000</v>
      </c>
    </row>
    <row r="33" spans="2:7">
      <c r="B33" s="18" t="str">
        <f>+G33&amp;D33</f>
        <v>20690100001008</v>
      </c>
      <c r="C33" s="18" t="s">
        <v>45</v>
      </c>
      <c r="D33" s="18">
        <v>1008</v>
      </c>
      <c r="E33" s="18" t="s">
        <v>23</v>
      </c>
      <c r="F33" s="19">
        <v>0</v>
      </c>
      <c r="G33" s="18">
        <v>2069010000</v>
      </c>
    </row>
    <row r="34" spans="2:7">
      <c r="B34" s="18" t="str">
        <f>+G34&amp;D34</f>
        <v>20690100001240</v>
      </c>
      <c r="C34" s="18" t="s">
        <v>45</v>
      </c>
      <c r="D34" s="18">
        <v>1240</v>
      </c>
      <c r="E34" s="18" t="s">
        <v>59</v>
      </c>
      <c r="F34" s="19">
        <v>0</v>
      </c>
      <c r="G34" s="18">
        <v>2069010000</v>
      </c>
    </row>
    <row r="35" spans="2:7">
      <c r="B35" s="18" t="str">
        <f>+G35&amp;D35</f>
        <v>20690100001006</v>
      </c>
      <c r="C35" s="18" t="s">
        <v>45</v>
      </c>
      <c r="D35" s="18">
        <v>1006</v>
      </c>
      <c r="E35" s="18" t="s">
        <v>176</v>
      </c>
      <c r="F35" s="19">
        <v>0</v>
      </c>
      <c r="G35" s="18">
        <v>2069010000</v>
      </c>
    </row>
    <row r="36" spans="2:7">
      <c r="B36" s="18" t="str">
        <f>+G36&amp;D36</f>
        <v>20690100001007</v>
      </c>
      <c r="C36" s="18" t="s">
        <v>45</v>
      </c>
      <c r="D36" s="18">
        <v>1007</v>
      </c>
      <c r="E36" s="18" t="s">
        <v>150</v>
      </c>
      <c r="F36" s="19">
        <v>0</v>
      </c>
      <c r="G36" s="18">
        <v>2069010000</v>
      </c>
    </row>
    <row r="37" spans="2:7">
      <c r="B37" s="18" t="str">
        <f>+G37&amp;D37</f>
        <v>206901000047037</v>
      </c>
      <c r="C37" s="18" t="s">
        <v>45</v>
      </c>
      <c r="D37" s="18" t="s">
        <v>152</v>
      </c>
      <c r="E37" s="18" t="s">
        <v>153</v>
      </c>
      <c r="F37" s="19">
        <v>-1948832.1429999999</v>
      </c>
      <c r="G37" s="18">
        <v>2069010000</v>
      </c>
    </row>
    <row r="38" spans="2:7">
      <c r="B38" s="18" t="str">
        <f>+G38&amp;D38</f>
        <v>2069010000111111</v>
      </c>
      <c r="C38" s="18" t="s">
        <v>45</v>
      </c>
      <c r="D38" s="18">
        <v>111111</v>
      </c>
      <c r="E38" s="18" t="s">
        <v>15</v>
      </c>
      <c r="F38" s="19">
        <v>-902857.84299999999</v>
      </c>
      <c r="G38" s="18">
        <v>2069010000</v>
      </c>
    </row>
    <row r="39" spans="2:7">
      <c r="B39" s="18" t="str">
        <f>+G39&amp;D39</f>
        <v>2069020000111111</v>
      </c>
      <c r="C39" s="18" t="s">
        <v>191</v>
      </c>
      <c r="D39" s="18">
        <v>111111</v>
      </c>
      <c r="E39" s="18" t="s">
        <v>15</v>
      </c>
      <c r="F39" s="19">
        <v>-61499.999999999993</v>
      </c>
      <c r="G39" s="18">
        <v>2069020000</v>
      </c>
    </row>
    <row r="40" spans="2:7">
      <c r="B40" s="18" t="str">
        <f>+G40&amp;D40</f>
        <v>2069980000105</v>
      </c>
      <c r="C40" s="18" t="s">
        <v>62</v>
      </c>
      <c r="D40" s="18">
        <v>105</v>
      </c>
      <c r="E40" s="18" t="s">
        <v>94</v>
      </c>
      <c r="F40" s="19">
        <v>-30913.425999999996</v>
      </c>
      <c r="G40" s="18">
        <v>2069980000</v>
      </c>
    </row>
    <row r="41" spans="2:7">
      <c r="B41" s="18" t="str">
        <f>+G41&amp;D41</f>
        <v>2069980000111111</v>
      </c>
      <c r="C41" s="18" t="s">
        <v>62</v>
      </c>
      <c r="D41" s="18">
        <v>111111</v>
      </c>
      <c r="E41" s="18" t="s">
        <v>15</v>
      </c>
      <c r="F41" s="19">
        <v>-15872.001999999999</v>
      </c>
      <c r="G41" s="18">
        <v>2069980000</v>
      </c>
    </row>
    <row r="42" spans="2:7">
      <c r="B42" s="18" t="str">
        <f>+G42&amp;D42</f>
        <v>2070400000111111</v>
      </c>
      <c r="C42" s="18" t="s">
        <v>64</v>
      </c>
      <c r="D42" s="18">
        <v>111111</v>
      </c>
      <c r="E42" s="18" t="s">
        <v>15</v>
      </c>
      <c r="F42" s="19">
        <v>57.317999999999998</v>
      </c>
      <c r="G42" s="18">
        <v>2070400000</v>
      </c>
    </row>
    <row r="43" spans="2:7">
      <c r="B43" s="18" t="str">
        <f>+G43&amp;D43</f>
        <v>2070500000111111</v>
      </c>
      <c r="C43" s="18" t="s">
        <v>66</v>
      </c>
      <c r="D43" s="18">
        <v>111111</v>
      </c>
      <c r="E43" s="18" t="s">
        <v>15</v>
      </c>
      <c r="F43" s="19">
        <v>19198.66</v>
      </c>
      <c r="G43" s="18">
        <v>2070500000</v>
      </c>
    </row>
    <row r="44" spans="2:7">
      <c r="B44" s="18" t="str">
        <f>+G44&amp;D44</f>
        <v>2070600000105</v>
      </c>
      <c r="C44" s="18" t="s">
        <v>69</v>
      </c>
      <c r="D44" s="18">
        <v>105</v>
      </c>
      <c r="E44" s="18" t="s">
        <v>94</v>
      </c>
      <c r="F44" s="19">
        <v>-1423120</v>
      </c>
      <c r="G44" s="18">
        <v>2070600000</v>
      </c>
    </row>
    <row r="45" spans="2:7">
      <c r="B45" s="18" t="str">
        <f>+G45&amp;D45</f>
        <v>2070600000111111</v>
      </c>
      <c r="C45" s="18" t="s">
        <v>69</v>
      </c>
      <c r="D45" s="18">
        <v>111111</v>
      </c>
      <c r="E45" s="18" t="s">
        <v>15</v>
      </c>
      <c r="F45" s="19">
        <v>-172933.44899999999</v>
      </c>
      <c r="G45" s="18">
        <v>2070600000</v>
      </c>
    </row>
    <row r="46" spans="2:7">
      <c r="B46" s="18" t="str">
        <f>+G46&amp;D46</f>
        <v>2070900000105</v>
      </c>
      <c r="C46" s="18" t="s">
        <v>71</v>
      </c>
      <c r="D46" s="18">
        <v>105</v>
      </c>
      <c r="E46" s="18" t="s">
        <v>94</v>
      </c>
      <c r="F46" s="19">
        <v>473575.46100000001</v>
      </c>
      <c r="G46" s="18">
        <v>2070900000</v>
      </c>
    </row>
    <row r="47" spans="2:7">
      <c r="B47" s="18" t="str">
        <f>+G47&amp;D47</f>
        <v>2070900000111111</v>
      </c>
      <c r="C47" s="18" t="s">
        <v>71</v>
      </c>
      <c r="D47" s="18">
        <v>111111</v>
      </c>
      <c r="E47" s="18" t="s">
        <v>15</v>
      </c>
      <c r="F47" s="19">
        <v>1481408.47</v>
      </c>
      <c r="G47" s="18">
        <v>2070900000</v>
      </c>
    </row>
    <row r="48" spans="2:7">
      <c r="B48" s="18" t="str">
        <f>+G48&amp;D48</f>
        <v>2071000000111111</v>
      </c>
      <c r="C48" s="18" t="s">
        <v>79</v>
      </c>
      <c r="D48" s="18">
        <v>111111</v>
      </c>
      <c r="E48" s="18" t="s">
        <v>15</v>
      </c>
      <c r="F48" s="19">
        <v>40048.799999999996</v>
      </c>
      <c r="G48" s="18">
        <v>2071000000</v>
      </c>
    </row>
    <row r="49" spans="2:7">
      <c r="B49" s="18" t="str">
        <f>+G49&amp;D49</f>
        <v>207110000088</v>
      </c>
      <c r="C49" s="18" t="s">
        <v>81</v>
      </c>
      <c r="D49" s="18">
        <v>88</v>
      </c>
      <c r="E49" s="18" t="s">
        <v>32</v>
      </c>
      <c r="F49" s="19">
        <v>584.66</v>
      </c>
      <c r="G49" s="18">
        <v>2071100000</v>
      </c>
    </row>
    <row r="50" spans="2:7">
      <c r="B50" s="18" t="str">
        <f>+G50&amp;D50</f>
        <v>2071100000111111</v>
      </c>
      <c r="C50" s="18" t="s">
        <v>81</v>
      </c>
      <c r="D50" s="18">
        <v>111111</v>
      </c>
      <c r="E50" s="18" t="s">
        <v>15</v>
      </c>
      <c r="F50" s="19">
        <v>64039.82699999999</v>
      </c>
      <c r="G50" s="18">
        <v>2071100000</v>
      </c>
    </row>
    <row r="51" spans="2:7">
      <c r="B51" s="18" t="str">
        <f>+G51&amp;D51</f>
        <v>2071209100111111</v>
      </c>
      <c r="C51" s="18" t="s">
        <v>192</v>
      </c>
      <c r="D51" s="18">
        <v>111111</v>
      </c>
      <c r="E51" s="18" t="s">
        <v>15</v>
      </c>
      <c r="F51" s="19">
        <v>1352.9999999999998</v>
      </c>
      <c r="G51" s="18">
        <v>2071209100</v>
      </c>
    </row>
    <row r="52" spans="2:7">
      <c r="B52" s="18" t="str">
        <f>+G52&amp;D52</f>
        <v>2071209200111111</v>
      </c>
      <c r="C52" s="18" t="s">
        <v>83</v>
      </c>
      <c r="D52" s="18">
        <v>111111</v>
      </c>
      <c r="E52" s="18" t="s">
        <v>15</v>
      </c>
      <c r="F52" s="19">
        <v>2514431.8869999996</v>
      </c>
      <c r="G52" s="18">
        <v>2071209200</v>
      </c>
    </row>
    <row r="53" spans="2:7">
      <c r="B53" s="18" t="str">
        <f>+G53&amp;D53</f>
        <v>2071209400111111</v>
      </c>
      <c r="C53" s="18" t="s">
        <v>85</v>
      </c>
      <c r="D53" s="18">
        <v>111111</v>
      </c>
      <c r="E53" s="18" t="s">
        <v>15</v>
      </c>
      <c r="F53" s="19">
        <v>4194.2999999999993</v>
      </c>
      <c r="G53" s="18">
        <v>2071209400</v>
      </c>
    </row>
    <row r="54" spans="2:7">
      <c r="B54" s="18" t="str">
        <f>+G54&amp;D54</f>
        <v>2071209500111111</v>
      </c>
      <c r="C54" s="18" t="s">
        <v>87</v>
      </c>
      <c r="D54" s="18">
        <v>111111</v>
      </c>
      <c r="E54" s="18" t="s">
        <v>15</v>
      </c>
      <c r="F54" s="19">
        <v>106525.708</v>
      </c>
      <c r="G54" s="18">
        <v>2071209500</v>
      </c>
    </row>
    <row r="55" spans="2:7">
      <c r="B55" s="18" t="str">
        <f>+G55&amp;D55</f>
        <v>2071980000111101</v>
      </c>
      <c r="C55" s="18" t="s">
        <v>89</v>
      </c>
      <c r="D55" s="18">
        <v>111101</v>
      </c>
      <c r="E55" s="18" t="s">
        <v>25</v>
      </c>
      <c r="F55" s="19">
        <v>109811.284</v>
      </c>
      <c r="G55" s="18">
        <v>2071980000</v>
      </c>
    </row>
    <row r="56" spans="2:7">
      <c r="B56" s="18" t="str">
        <f>+G56&amp;D56</f>
        <v>2079022000111111</v>
      </c>
      <c r="C56" s="18" t="s">
        <v>91</v>
      </c>
      <c r="D56" s="18">
        <v>111111</v>
      </c>
      <c r="E56" s="18" t="s">
        <v>15</v>
      </c>
      <c r="F56" s="19">
        <v>61111.483999999997</v>
      </c>
      <c r="G56" s="18">
        <v>2079022000</v>
      </c>
    </row>
    <row r="57" spans="2:7">
      <c r="B57" s="18" t="str">
        <f>+G57&amp;D57</f>
        <v>20790700001924</v>
      </c>
      <c r="C57" s="18" t="s">
        <v>93</v>
      </c>
      <c r="D57" s="18" t="s">
        <v>134</v>
      </c>
      <c r="E57" s="18" t="s">
        <v>135</v>
      </c>
      <c r="F57" s="19">
        <v>0</v>
      </c>
      <c r="G57" s="18">
        <v>2079070000</v>
      </c>
    </row>
    <row r="58" spans="2:7">
      <c r="B58" s="18" t="str">
        <f>+G58&amp;D58</f>
        <v>2079070000105</v>
      </c>
      <c r="C58" s="18" t="s">
        <v>93</v>
      </c>
      <c r="D58" s="18">
        <v>105</v>
      </c>
      <c r="E58" s="18" t="s">
        <v>94</v>
      </c>
      <c r="F58" s="19">
        <v>1684415.2999999998</v>
      </c>
      <c r="G58" s="18">
        <v>2079070000</v>
      </c>
    </row>
    <row r="59" spans="2:7">
      <c r="B59" s="18" t="str">
        <f>+G59&amp;D59</f>
        <v>2079070000111111</v>
      </c>
      <c r="C59" s="18" t="s">
        <v>93</v>
      </c>
      <c r="D59" s="18">
        <v>111111</v>
      </c>
      <c r="E59" s="18" t="s">
        <v>15</v>
      </c>
      <c r="F59" s="19">
        <v>575626.2649999999</v>
      </c>
      <c r="G59" s="18">
        <v>2079070000</v>
      </c>
    </row>
    <row r="60" spans="2:7">
      <c r="B60" s="18" t="str">
        <f>+G60&amp;D60</f>
        <v>20790800001086</v>
      </c>
      <c r="C60" s="18" t="s">
        <v>97</v>
      </c>
      <c r="D60" s="18" t="s">
        <v>125</v>
      </c>
      <c r="E60" s="18" t="s">
        <v>126</v>
      </c>
      <c r="F60" s="19">
        <v>0</v>
      </c>
      <c r="G60" s="18">
        <v>2079080000</v>
      </c>
    </row>
    <row r="61" spans="2:7">
      <c r="B61" s="18" t="str">
        <f>+G61&amp;D61</f>
        <v>20790800001007</v>
      </c>
      <c r="C61" s="18" t="s">
        <v>97</v>
      </c>
      <c r="D61" s="18">
        <v>1007</v>
      </c>
      <c r="E61" s="18" t="s">
        <v>150</v>
      </c>
      <c r="F61" s="19">
        <v>0</v>
      </c>
      <c r="G61" s="18">
        <v>2079080000</v>
      </c>
    </row>
    <row r="62" spans="2:7">
      <c r="B62" s="18" t="str">
        <f>+G62&amp;D62</f>
        <v>20822800001086</v>
      </c>
      <c r="C62" s="18" t="s">
        <v>101</v>
      </c>
      <c r="D62" s="18" t="s">
        <v>125</v>
      </c>
      <c r="E62" s="18" t="s">
        <v>126</v>
      </c>
      <c r="F62" s="19">
        <v>0</v>
      </c>
      <c r="G62" s="18">
        <v>2082280000</v>
      </c>
    </row>
    <row r="63" spans="2:7">
      <c r="B63" s="18" t="str">
        <f>+G63&amp;D63</f>
        <v>20822800001009</v>
      </c>
      <c r="C63" s="18" t="s">
        <v>101</v>
      </c>
      <c r="D63" s="18">
        <v>1009</v>
      </c>
      <c r="E63" s="18" t="s">
        <v>19</v>
      </c>
      <c r="F63" s="19">
        <v>0</v>
      </c>
      <c r="G63" s="18">
        <v>2082280000</v>
      </c>
    </row>
    <row r="64" spans="2:7">
      <c r="B64" s="18" t="str">
        <f>+G64&amp;D64</f>
        <v>20822800001007</v>
      </c>
      <c r="C64" s="18" t="s">
        <v>101</v>
      </c>
      <c r="D64" s="18">
        <v>1007</v>
      </c>
      <c r="E64" s="18" t="s">
        <v>21</v>
      </c>
      <c r="F64" s="19">
        <v>0</v>
      </c>
      <c r="G64" s="18">
        <v>2082280000</v>
      </c>
    </row>
    <row r="65" spans="2:7">
      <c r="B65" s="18" t="str">
        <f>+G65&amp;D65</f>
        <v>20822800001008</v>
      </c>
      <c r="C65" s="18" t="s">
        <v>101</v>
      </c>
      <c r="D65" s="18">
        <v>1008</v>
      </c>
      <c r="E65" s="18" t="s">
        <v>23</v>
      </c>
      <c r="F65" s="19">
        <v>0</v>
      </c>
      <c r="G65" s="18">
        <v>2082280000</v>
      </c>
    </row>
    <row r="66" spans="2:7">
      <c r="B66" s="18" t="str">
        <f>+G66&amp;D66</f>
        <v>20822800001240</v>
      </c>
      <c r="C66" s="18" t="s">
        <v>101</v>
      </c>
      <c r="D66" s="18">
        <v>1240</v>
      </c>
      <c r="E66" s="18" t="s">
        <v>59</v>
      </c>
      <c r="F66" s="19">
        <v>0</v>
      </c>
      <c r="G66" s="18">
        <v>2082280000</v>
      </c>
    </row>
    <row r="67" spans="2:7">
      <c r="B67" s="18" t="str">
        <f>+G67&amp;D67</f>
        <v>20822800001006</v>
      </c>
      <c r="C67" s="18" t="s">
        <v>101</v>
      </c>
      <c r="D67" s="18">
        <v>1006</v>
      </c>
      <c r="E67" s="18" t="s">
        <v>176</v>
      </c>
      <c r="F67" s="19">
        <v>0</v>
      </c>
      <c r="G67" s="18">
        <v>2082280000</v>
      </c>
    </row>
    <row r="68" spans="2:7">
      <c r="B68" s="18" t="str">
        <f>+G68&amp;D68</f>
        <v>2082280000111111</v>
      </c>
      <c r="C68" s="18" t="s">
        <v>101</v>
      </c>
      <c r="D68" s="18">
        <v>111111</v>
      </c>
      <c r="E68" s="18" t="s">
        <v>15</v>
      </c>
      <c r="F68" s="19">
        <v>-73809.511999999988</v>
      </c>
      <c r="G68" s="18">
        <v>2082280000</v>
      </c>
    </row>
    <row r="69" spans="2:7">
      <c r="B69" s="18" t="str">
        <f>+G69&amp;D69</f>
        <v>2082208200111101</v>
      </c>
      <c r="C69" s="18" t="s">
        <v>109</v>
      </c>
      <c r="D69" s="18">
        <v>111101</v>
      </c>
      <c r="E69" s="18" t="s">
        <v>25</v>
      </c>
      <c r="F69" s="19">
        <v>7173.195999999999</v>
      </c>
      <c r="G69" s="18">
        <v>2082208200</v>
      </c>
    </row>
    <row r="70" spans="2:7">
      <c r="B70" s="18" t="str">
        <f>+G70&amp;D70</f>
        <v>208221400088</v>
      </c>
      <c r="C70" s="18" t="s">
        <v>111</v>
      </c>
      <c r="D70" s="18">
        <v>88</v>
      </c>
      <c r="E70" s="18" t="s">
        <v>32</v>
      </c>
      <c r="F70" s="19">
        <v>2324465.8859999999</v>
      </c>
      <c r="G70" s="18">
        <v>2082214000</v>
      </c>
    </row>
    <row r="71" spans="2:7">
      <c r="B71" s="18" t="str">
        <f>+G71&amp;D71</f>
        <v>20822140001007</v>
      </c>
      <c r="C71" s="18" t="s">
        <v>111</v>
      </c>
      <c r="D71" s="18">
        <v>1007</v>
      </c>
      <c r="E71" s="18" t="s">
        <v>150</v>
      </c>
      <c r="F71" s="19">
        <v>0</v>
      </c>
      <c r="G71" s="18">
        <v>2082214000</v>
      </c>
    </row>
    <row r="72" spans="2:7">
      <c r="B72" s="18" t="str">
        <f>+G72&amp;D72</f>
        <v>2082214000111111</v>
      </c>
      <c r="C72" s="18" t="s">
        <v>111</v>
      </c>
      <c r="D72" s="18">
        <v>111111</v>
      </c>
      <c r="E72" s="18" t="s">
        <v>15</v>
      </c>
      <c r="F72" s="19">
        <v>51.454999999999998</v>
      </c>
      <c r="G72" s="18">
        <v>2082214000</v>
      </c>
    </row>
    <row r="73" spans="2:7">
      <c r="B73" s="18" t="str">
        <f>+G73&amp;D73</f>
        <v>2082110000111101</v>
      </c>
      <c r="C73" s="18" t="s">
        <v>180</v>
      </c>
      <c r="D73" s="18">
        <v>111101</v>
      </c>
      <c r="E73" s="18" t="s">
        <v>25</v>
      </c>
      <c r="F73" s="19">
        <v>0</v>
      </c>
      <c r="G73" s="18">
        <v>2082110000</v>
      </c>
    </row>
    <row r="74" spans="2:7">
      <c r="B74" s="18" t="str">
        <f>+G74&amp;D74</f>
        <v>2091200000111101</v>
      </c>
      <c r="C74" s="18" t="s">
        <v>113</v>
      </c>
      <c r="D74" s="18">
        <v>111101</v>
      </c>
      <c r="E74" s="18" t="s">
        <v>25</v>
      </c>
      <c r="F74" s="19">
        <v>2558.1950000000002</v>
      </c>
      <c r="G74" s="18">
        <v>2091200000</v>
      </c>
    </row>
    <row r="75" spans="2:7">
      <c r="B75" s="18" t="str">
        <f>+G75&amp;D75</f>
        <v>2091200001111101</v>
      </c>
      <c r="C75" s="18" t="s">
        <v>115</v>
      </c>
      <c r="D75" s="18">
        <v>111101</v>
      </c>
      <c r="E75" s="18" t="s">
        <v>25</v>
      </c>
      <c r="F75" s="19">
        <v>522710.353</v>
      </c>
      <c r="G75" s="18">
        <v>2091200001</v>
      </c>
    </row>
    <row r="76" spans="2:7">
      <c r="B76" s="18" t="str">
        <f>+G76&amp;D76</f>
        <v>2092200000111101</v>
      </c>
      <c r="C76" s="18" t="s">
        <v>117</v>
      </c>
      <c r="D76" s="18">
        <v>111101</v>
      </c>
      <c r="E76" s="18" t="s">
        <v>25</v>
      </c>
      <c r="F76" s="19">
        <v>-160303.52199999997</v>
      </c>
      <c r="G76" s="18">
        <v>2092200000</v>
      </c>
    </row>
    <row r="77" spans="2:7">
      <c r="B77" s="18" t="str">
        <f>+G77&amp;D77</f>
        <v>2111111997111101</v>
      </c>
      <c r="C77" s="18" t="s">
        <v>193</v>
      </c>
      <c r="D77" s="18">
        <v>111101</v>
      </c>
      <c r="E77" s="18" t="s">
        <v>25</v>
      </c>
      <c r="F77" s="19">
        <v>0</v>
      </c>
      <c r="G77" s="18">
        <v>2111111997</v>
      </c>
    </row>
    <row r="78" spans="2:7">
      <c r="B78" s="18" t="str">
        <f>+G78&amp;D78</f>
        <v>2111111999111101</v>
      </c>
      <c r="C78" s="20" t="s">
        <v>119</v>
      </c>
      <c r="D78" s="20">
        <v>111101</v>
      </c>
      <c r="E78" s="20" t="s">
        <v>25</v>
      </c>
      <c r="F78" s="21">
        <v>-779290.47600000002</v>
      </c>
      <c r="G78" s="20">
        <v>2111111999</v>
      </c>
    </row>
    <row r="79" spans="2:7">
      <c r="B79" s="18" t="str">
        <f>+G79&amp;D79</f>
        <v/>
      </c>
    </row>
    <row r="80" spans="2:7"/>
    <row r="81"/>
    <row r="82"/>
    <row r="83"/>
    <row r="84"/>
    <row r="85"/>
    <row r="86"/>
  </sheetData>
  <autoFilter ref="C4:G78" xr:uid="{00000000-0001-0000-0500-000000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4ACBC-E948-4CE2-BC18-18F5D2177BE5}">
  <dimension ref="A1:H222"/>
  <sheetViews>
    <sheetView showGridLines="0" tabSelected="1" workbookViewId="0">
      <pane ySplit="1" topLeftCell="B73" activePane="bottomLeft" state="frozen"/>
      <selection pane="bottomLeft" activeCell="J1" sqref="J1:J1048576"/>
    </sheetView>
  </sheetViews>
  <sheetFormatPr defaultRowHeight="15"/>
  <cols>
    <col min="1" max="1" width="18.85546875" style="24" customWidth="1"/>
    <col min="2" max="2" width="32.85546875" customWidth="1"/>
    <col min="3" max="3" width="16.5703125" style="27" customWidth="1"/>
    <col min="4" max="4" width="29" customWidth="1"/>
    <col min="5" max="5" width="14.7109375" style="30" customWidth="1"/>
    <col min="6" max="6" width="15.28515625" style="25" customWidth="1"/>
    <col min="7" max="7" width="19.5703125" style="30" customWidth="1"/>
    <col min="8" max="8" width="25.85546875" style="25" customWidth="1"/>
  </cols>
  <sheetData>
    <row r="1" spans="1:8" s="23" customFormat="1">
      <c r="A1" s="37" t="s">
        <v>185</v>
      </c>
      <c r="B1" s="23" t="s">
        <v>194</v>
      </c>
      <c r="C1" s="26" t="s">
        <v>9</v>
      </c>
      <c r="D1" s="23" t="s">
        <v>10</v>
      </c>
      <c r="E1" s="29" t="s">
        <v>195</v>
      </c>
      <c r="F1" s="28" t="s">
        <v>196</v>
      </c>
      <c r="G1" s="29" t="s">
        <v>197</v>
      </c>
      <c r="H1" s="28" t="s">
        <v>198</v>
      </c>
    </row>
    <row r="2" spans="1:8">
      <c r="A2" s="24" t="s">
        <v>13</v>
      </c>
      <c r="B2" t="str">
        <f>+VLOOKUP($A2, '1.1 FY2016'!$B$4:$G$61, 2, FALSE)</f>
        <v>Core business revenues</v>
      </c>
      <c r="C2" s="27">
        <f>+VLOOKUP($A2, '1.1 FY2016'!$B$4:$G$61, 3, FALSE)</f>
        <v>111111</v>
      </c>
      <c r="D2" t="str">
        <f>+VLOOKUP($A2, '1.1 FY2016'!$B$4:$G$61, 4, FALSE)</f>
        <v>External</v>
      </c>
      <c r="E2" s="30">
        <f>-SUMIF('1.1 FY2016'!$B:$B, DataBase!A2, '1.1 FY2016'!F:F)</f>
        <v>14500341</v>
      </c>
      <c r="F2" s="25">
        <f>-SUMIF('1.2 FY2017'!$B:$B, DataBase!A2, '1.2 FY2017'!F:F)</f>
        <v>15792898.75</v>
      </c>
      <c r="G2" s="30">
        <f>-SUMIF('1.3 FY2018'!$B:$B, DataBase!A2, '1.3 FY2018'!F:F)</f>
        <v>14431341</v>
      </c>
      <c r="H2" s="31" t="s">
        <v>199</v>
      </c>
    </row>
    <row r="3" spans="1:8">
      <c r="A3" s="24" t="s">
        <v>16</v>
      </c>
      <c r="B3" t="str">
        <f>+VLOOKUP($A3, '1.1 FY2016'!$B$4:$G$61, 2, FALSE)</f>
        <v>Other revenues</v>
      </c>
      <c r="C3" s="27">
        <f>+VLOOKUP($A3, '1.1 FY2016'!$B$4:$G$61, 3, FALSE)</f>
        <v>111111</v>
      </c>
      <c r="D3" t="str">
        <f>+VLOOKUP($A3, '1.1 FY2016'!$B$4:$G$61, 4, FALSE)</f>
        <v>External</v>
      </c>
      <c r="E3" s="30">
        <f>-SUMIF('1.1 FY2016'!$B:$B, DataBase!A3, '1.1 FY2016'!F:F)</f>
        <v>4794856.1919999998</v>
      </c>
      <c r="F3" s="25">
        <f>-SUMIF('1.2 FY2017'!$B:$B, DataBase!A3, '1.2 FY2017'!F:F)</f>
        <v>6960217.6449999996</v>
      </c>
      <c r="G3" s="30">
        <f>-SUMIF('1.3 FY2018'!$B:$B, DataBase!A3, '1.3 FY2018'!F:F)</f>
        <v>6373617.5140000004</v>
      </c>
      <c r="H3" s="31" t="s">
        <v>17</v>
      </c>
    </row>
    <row r="4" spans="1:8">
      <c r="A4" s="24" t="s">
        <v>200</v>
      </c>
      <c r="B4" t="str">
        <f>+VLOOKUP($A4, '1.1 FY2016'!$B$4:$G$61, 2, FALSE)</f>
        <v>Capitalized costs</v>
      </c>
      <c r="C4" s="27">
        <f>+VLOOKUP($A4, '1.1 FY2016'!$B$4:$G$61, 3, FALSE)</f>
        <v>1009</v>
      </c>
      <c r="D4" t="str">
        <f>+VLOOKUP($A4, '1.1 FY2016'!$B$4:$G$61, 4, FALSE)</f>
        <v>Green Ventures Ltd</v>
      </c>
      <c r="E4" s="30">
        <f>-SUMIF('1.1 FY2016'!$B:$B, DataBase!A4, '1.1 FY2016'!F:F)</f>
        <v>154890.4</v>
      </c>
      <c r="F4" s="25">
        <f>-SUMIF('1.2 FY2017'!$B:$B, DataBase!A4, '1.2 FY2017'!F:F)</f>
        <v>0</v>
      </c>
      <c r="G4" s="30">
        <f>-SUMIF('1.3 FY2018'!$B:$B, DataBase!A4, '1.3 FY2018'!F:F)</f>
        <v>0</v>
      </c>
      <c r="H4" s="31" t="s">
        <v>18</v>
      </c>
    </row>
    <row r="5" spans="1:8">
      <c r="A5" s="24" t="s">
        <v>20</v>
      </c>
      <c r="B5" t="str">
        <f>+VLOOKUP($A5, '1.1 FY2016'!$B$4:$G$61, 2, FALSE)</f>
        <v>Capitalized costs</v>
      </c>
      <c r="C5" s="27">
        <f>+VLOOKUP($A5, '1.1 FY2016'!$B$4:$G$61, 3, FALSE)</f>
        <v>1007</v>
      </c>
      <c r="D5" t="str">
        <f>+VLOOKUP($A5, '1.1 FY2016'!$B$4:$G$61, 4, FALSE)</f>
        <v>Generco Sunshine JSC</v>
      </c>
      <c r="E5" s="30">
        <f>-SUMIF('1.1 FY2016'!$B:$B, DataBase!A5, '1.1 FY2016'!F:F)</f>
        <v>1180894.0520000001</v>
      </c>
      <c r="F5" s="25">
        <f>-SUMIF('1.2 FY2017'!$B:$B, DataBase!A5, '1.2 FY2017'!F:F)</f>
        <v>89234.880000000005</v>
      </c>
      <c r="G5" s="30">
        <f>-SUMIF('1.3 FY2018'!$B:$B, DataBase!A5, '1.3 FY2018'!F:F)</f>
        <v>0</v>
      </c>
      <c r="H5" s="31" t="s">
        <v>18</v>
      </c>
    </row>
    <row r="6" spans="1:8">
      <c r="A6" s="24" t="s">
        <v>22</v>
      </c>
      <c r="B6" t="str">
        <f>+VLOOKUP($A6, '1.1 FY2016'!$B$4:$G$61, 2, FALSE)</f>
        <v>Capitalized costs</v>
      </c>
      <c r="C6" s="27">
        <f>+VLOOKUP($A6, '1.1 FY2016'!$B$4:$G$61, 3, FALSE)</f>
        <v>1008</v>
      </c>
      <c r="D6" t="str">
        <f>+VLOOKUP($A6, '1.1 FY2016'!$B$4:$G$61, 4, FALSE)</f>
        <v>Greenco Ltd</v>
      </c>
      <c r="E6" s="30">
        <f>-SUMIF('1.1 FY2016'!$B:$B, DataBase!A6, '1.1 FY2016'!F:F)</f>
        <v>793079.51199999999</v>
      </c>
      <c r="F6" s="25">
        <f>-SUMIF('1.2 FY2017'!$B:$B, DataBase!A6, '1.2 FY2017'!F:F)</f>
        <v>26173</v>
      </c>
      <c r="G6" s="30">
        <f>-SUMIF('1.3 FY2018'!$B:$B, DataBase!A6, '1.3 FY2018'!F:F)</f>
        <v>0</v>
      </c>
      <c r="H6" s="31" t="s">
        <v>18</v>
      </c>
    </row>
    <row r="7" spans="1:8">
      <c r="A7" s="24" t="s">
        <v>24</v>
      </c>
      <c r="B7" t="str">
        <f>+VLOOKUP($A7, '1.1 FY2016'!$B$4:$G$61, 2, FALSE)</f>
        <v>Capitalized costs</v>
      </c>
      <c r="C7" s="27">
        <f>+VLOOKUP($A7, '1.1 FY2016'!$B$4:$G$61, 3, FALSE)</f>
        <v>111101</v>
      </c>
      <c r="D7" t="str">
        <f>+VLOOKUP($A7, '1.1 FY2016'!$B$4:$G$61, 4, FALSE)</f>
        <v>Not assigned</v>
      </c>
      <c r="E7" s="30">
        <f>-SUMIF('1.1 FY2016'!$B:$B, DataBase!A7, '1.1 FY2016'!F:F)</f>
        <v>2277197.6</v>
      </c>
      <c r="F7" s="25">
        <f>-SUMIF('1.2 FY2017'!$B:$B, DataBase!A7, '1.2 FY2017'!F:F)</f>
        <v>209401.92</v>
      </c>
      <c r="G7" s="30">
        <f>-SUMIF('1.3 FY2018'!$B:$B, DataBase!A7, '1.3 FY2018'!F:F)</f>
        <v>0</v>
      </c>
      <c r="H7" s="31" t="s">
        <v>18</v>
      </c>
    </row>
    <row r="8" spans="1:8">
      <c r="A8" s="24" t="s">
        <v>26</v>
      </c>
      <c r="B8" t="str">
        <f>+VLOOKUP($A8, '1.1 FY2016'!$B$4:$G$61, 2, FALSE)</f>
        <v>Direct costs</v>
      </c>
      <c r="C8" s="27">
        <f>+VLOOKUP($A8, '1.1 FY2016'!$B$4:$G$61, 3, FALSE)</f>
        <v>111111</v>
      </c>
      <c r="D8" t="str">
        <f>+VLOOKUP($A8, '1.1 FY2016'!$B$4:$G$61, 4, FALSE)</f>
        <v>External</v>
      </c>
      <c r="E8" s="30">
        <f>-SUMIF('1.1 FY2016'!$B:$B, DataBase!A8, '1.1 FY2016'!F:F)</f>
        <v>-4428911.7640000004</v>
      </c>
      <c r="F8" s="25">
        <f>-SUMIF('1.2 FY2017'!$B:$B, DataBase!A8, '1.2 FY2017'!F:F)</f>
        <v>-5463188.8250000002</v>
      </c>
      <c r="G8" s="30">
        <f>-SUMIF('1.3 FY2018'!$B:$B, DataBase!A8, '1.3 FY2018'!F:F)</f>
        <v>-5674152.0669999998</v>
      </c>
      <c r="H8" s="31" t="s">
        <v>27</v>
      </c>
    </row>
    <row r="9" spans="1:8">
      <c r="A9" s="24" t="s">
        <v>28</v>
      </c>
      <c r="B9" t="str">
        <f>+VLOOKUP($A9, '1.1 FY2016'!$B$4:$G$61, 2, FALSE)</f>
        <v>Freight outbound expenses</v>
      </c>
      <c r="C9" s="27">
        <f>+VLOOKUP($A9, '1.1 FY2016'!$B$4:$G$61, 3, FALSE)</f>
        <v>111111</v>
      </c>
      <c r="D9" t="str">
        <f>+VLOOKUP($A9, '1.1 FY2016'!$B$4:$G$61, 4, FALSE)</f>
        <v>External</v>
      </c>
      <c r="E9" s="30">
        <f>-SUMIF('1.1 FY2016'!$B:$B, DataBase!A9, '1.1 FY2016'!F:F)</f>
        <v>-16977.628000000001</v>
      </c>
      <c r="F9" s="25">
        <f>-SUMIF('1.2 FY2017'!$B:$B, DataBase!A9, '1.2 FY2017'!F:F)</f>
        <v>-343675</v>
      </c>
      <c r="G9" s="30">
        <f>-SUMIF('1.3 FY2018'!$B:$B, DataBase!A9, '1.3 FY2018'!F:F)</f>
        <v>-350370.99399999995</v>
      </c>
      <c r="H9" s="31" t="s">
        <v>201</v>
      </c>
    </row>
    <row r="10" spans="1:8">
      <c r="A10" s="24" t="s">
        <v>30</v>
      </c>
      <c r="B10" t="str">
        <f>+VLOOKUP($A10, '1.1 FY2016'!$B$4:$G$61, 2, FALSE)</f>
        <v>R&amp;D expenses</v>
      </c>
      <c r="C10" s="27">
        <f>+VLOOKUP($A10, '1.1 FY2016'!$B$4:$G$61, 3, FALSE)</f>
        <v>88</v>
      </c>
      <c r="D10" t="str">
        <f>+VLOOKUP($A10, '1.1 FY2016'!$B$4:$G$61, 4, FALSE)</f>
        <v>Generco Ltd</v>
      </c>
      <c r="E10" s="30">
        <f>-SUMIF('1.1 FY2016'!$B:$B, DataBase!A10, '1.1 FY2016'!F:F)</f>
        <v>-2245437.54</v>
      </c>
      <c r="F10" s="25">
        <f>-SUMIF('1.2 FY2017'!$B:$B, DataBase!A10, '1.2 FY2017'!F:F)</f>
        <v>-1980162.23</v>
      </c>
      <c r="G10" s="30">
        <f>-SUMIF('1.3 FY2018'!$B:$B, DataBase!A10, '1.3 FY2018'!F:F)</f>
        <v>-3116017.1540000001</v>
      </c>
      <c r="H10" s="31" t="s">
        <v>201</v>
      </c>
    </row>
    <row r="11" spans="1:8">
      <c r="A11" s="24" t="s">
        <v>33</v>
      </c>
      <c r="B11" t="str">
        <f>+VLOOKUP($A11, '1.1 FY2016'!$B$4:$G$61, 2, FALSE)</f>
        <v>R&amp;D expenses</v>
      </c>
      <c r="C11" s="27">
        <f>+VLOOKUP($A11, '1.1 FY2016'!$B$4:$G$61, 3, FALSE)</f>
        <v>111111</v>
      </c>
      <c r="D11" t="str">
        <f>+VLOOKUP($A11, '1.1 FY2016'!$B$4:$G$61, 4, FALSE)</f>
        <v>External</v>
      </c>
      <c r="E11" s="30">
        <f>-SUMIF('1.1 FY2016'!$B:$B, DataBase!A11, '1.1 FY2016'!F:F)</f>
        <v>-16605.634000000002</v>
      </c>
      <c r="F11" s="25">
        <f>-SUMIF('1.2 FY2017'!$B:$B, DataBase!A11, '1.2 FY2017'!F:F)</f>
        <v>-27148.625</v>
      </c>
      <c r="G11" s="30">
        <f>-SUMIF('1.3 FY2018'!$B:$B, DataBase!A11, '1.3 FY2018'!F:F)</f>
        <v>-9783.7069999999985</v>
      </c>
      <c r="H11" s="31" t="s">
        <v>201</v>
      </c>
    </row>
    <row r="12" spans="1:8">
      <c r="A12" s="24" t="s">
        <v>34</v>
      </c>
      <c r="B12" t="str">
        <f>+VLOOKUP($A12, '1.1 FY2016'!$B$4:$G$61, 2, FALSE)</f>
        <v>Wages and salaries</v>
      </c>
      <c r="C12" s="27">
        <f>+VLOOKUP($A12, '1.1 FY2016'!$B$4:$G$61, 3, FALSE)</f>
        <v>111111</v>
      </c>
      <c r="D12" t="str">
        <f>+VLOOKUP($A12, '1.1 FY2016'!$B$4:$G$61, 4, FALSE)</f>
        <v>External</v>
      </c>
      <c r="E12" s="30">
        <f>-SUMIF('1.1 FY2016'!$B:$B, DataBase!A12, '1.1 FY2016'!F:F)</f>
        <v>-4683394.0460000001</v>
      </c>
      <c r="F12" s="25">
        <f>-SUMIF('1.2 FY2017'!$B:$B, DataBase!A12, '1.2 FY2017'!F:F)</f>
        <v>-5507141.0549999997</v>
      </c>
      <c r="G12" s="30">
        <f>-SUMIF('1.3 FY2018'!$B:$B, DataBase!A12, '1.3 FY2018'!F:F)</f>
        <v>-3982699.5329999998</v>
      </c>
      <c r="H12" s="31" t="s">
        <v>202</v>
      </c>
    </row>
    <row r="13" spans="1:8">
      <c r="A13" s="24" t="s">
        <v>36</v>
      </c>
      <c r="B13" t="str">
        <f>+VLOOKUP($A13, '1.1 FY2016'!$B$4:$G$61, 2, FALSE)</f>
        <v>Pension contributions</v>
      </c>
      <c r="C13" s="27">
        <f>+VLOOKUP($A13, '1.1 FY2016'!$B$4:$G$61, 3, FALSE)</f>
        <v>111101</v>
      </c>
      <c r="D13" t="str">
        <f>+VLOOKUP($A13, '1.1 FY2016'!$B$4:$G$61, 4, FALSE)</f>
        <v>Not assigned</v>
      </c>
      <c r="E13" s="30">
        <f>-SUMIF('1.1 FY2016'!$B:$B, DataBase!A13, '1.1 FY2016'!F:F)</f>
        <v>-1143051.5760000001</v>
      </c>
      <c r="F13" s="25">
        <f>-SUMIF('1.2 FY2017'!$B:$B, DataBase!A13, '1.2 FY2017'!F:F)</f>
        <v>-2057298.04</v>
      </c>
      <c r="G13" s="30">
        <f>-SUMIF('1.3 FY2018'!$B:$B, DataBase!A13, '1.3 FY2018'!F:F)</f>
        <v>-1709688.6429999997</v>
      </c>
      <c r="H13" s="31" t="s">
        <v>202</v>
      </c>
    </row>
    <row r="14" spans="1:8">
      <c r="A14" s="24" t="s">
        <v>38</v>
      </c>
      <c r="B14" t="str">
        <f>+VLOOKUP($A14, '1.1 FY2016'!$B$4:$G$61, 2, FALSE)</f>
        <v>Pension contributions</v>
      </c>
      <c r="C14" s="27">
        <f>+VLOOKUP($A14, '1.1 FY2016'!$B$4:$G$61, 3, FALSE)</f>
        <v>88</v>
      </c>
      <c r="D14" t="str">
        <f>+VLOOKUP($A14, '1.1 FY2016'!$B$4:$G$61, 4, FALSE)</f>
        <v>Generco Ltd</v>
      </c>
      <c r="E14" s="30">
        <f>-SUMIF('1.1 FY2016'!$B:$B, DataBase!A14, '1.1 FY2016'!F:F)</f>
        <v>-239379.61800000002</v>
      </c>
      <c r="F14" s="25">
        <f>-SUMIF('1.2 FY2017'!$B:$B, DataBase!A14, '1.2 FY2017'!F:F)</f>
        <v>0</v>
      </c>
      <c r="G14" s="30">
        <f>-SUMIF('1.3 FY2018'!$B:$B, DataBase!A14, '1.3 FY2018'!F:F)</f>
        <v>0</v>
      </c>
      <c r="H14" s="31" t="s">
        <v>202</v>
      </c>
    </row>
    <row r="15" spans="1:8">
      <c r="A15" s="24" t="s">
        <v>39</v>
      </c>
      <c r="B15" t="str">
        <f>+VLOOKUP($A15, '1.1 FY2016'!$B$4:$G$61, 2, FALSE)</f>
        <v>Severance indemnity contribution</v>
      </c>
      <c r="C15" s="27">
        <f>+VLOOKUP($A15, '1.1 FY2016'!$B$4:$G$61, 3, FALSE)</f>
        <v>111101</v>
      </c>
      <c r="D15" t="str">
        <f>+VLOOKUP($A15, '1.1 FY2016'!$B$4:$G$61, 4, FALSE)</f>
        <v>Not assigned</v>
      </c>
      <c r="E15" s="30">
        <f>-SUMIF('1.1 FY2016'!$B:$B, DataBase!A15, '1.1 FY2016'!F:F)</f>
        <v>-104913.8</v>
      </c>
      <c r="F15" s="25">
        <f>-SUMIF('1.2 FY2017'!$B:$B, DataBase!A15, '1.2 FY2017'!F:F)</f>
        <v>-500500</v>
      </c>
      <c r="G15" s="30">
        <f>-SUMIF('1.3 FY2018'!$B:$B, DataBase!A15, '1.3 FY2018'!F:F)</f>
        <v>-143500</v>
      </c>
      <c r="H15" s="31" t="s">
        <v>202</v>
      </c>
    </row>
    <row r="16" spans="1:8">
      <c r="A16" s="24" t="s">
        <v>41</v>
      </c>
      <c r="B16" t="str">
        <f>+VLOOKUP($A16, '1.1 FY2016'!$B$4:$G$61, 2, FALSE)</f>
        <v>D&amp;A</v>
      </c>
      <c r="C16" s="27">
        <f>+VLOOKUP($A16, '1.1 FY2016'!$B$4:$G$61, 3, FALSE)</f>
        <v>111101</v>
      </c>
      <c r="D16" t="str">
        <f>+VLOOKUP($A16, '1.1 FY2016'!$B$4:$G$61, 4, FALSE)</f>
        <v>Not assigned</v>
      </c>
      <c r="E16" s="30">
        <f>-SUMIF('1.1 FY2016'!$B:$B, DataBase!A16, '1.1 FY2016'!F:F)</f>
        <v>-2003262.2180000001</v>
      </c>
      <c r="F16" s="25">
        <f>-SUMIF('1.2 FY2017'!$B:$B, DataBase!A16, '1.2 FY2017'!F:F)</f>
        <v>-1897676.87</v>
      </c>
      <c r="G16" s="30">
        <f>-SUMIF('1.3 FY2018'!$B:$B, DataBase!A16, '1.3 FY2018'!F:F)</f>
        <v>-1875768.159</v>
      </c>
      <c r="H16" s="31" t="s">
        <v>42</v>
      </c>
    </row>
    <row r="17" spans="1:8">
      <c r="A17" s="24" t="s">
        <v>43</v>
      </c>
      <c r="B17" t="str">
        <f>+VLOOKUP($A17, '1.1 FY2016'!$B$4:$G$61, 2, FALSE)</f>
        <v>D&amp;A</v>
      </c>
      <c r="C17" s="27">
        <f>+VLOOKUP($A17, '1.1 FY2016'!$B$4:$G$61, 3, FALSE)</f>
        <v>1</v>
      </c>
      <c r="D17" t="str">
        <f>+VLOOKUP($A17, '1.1 FY2016'!$B$4:$G$61, 4, FALSE)</f>
        <v>Not assigned</v>
      </c>
      <c r="E17" s="30">
        <f>-SUMIF('1.1 FY2016'!$B:$B, DataBase!A17, '1.1 FY2016'!F:F)</f>
        <v>-41981.296000000002</v>
      </c>
      <c r="F17" s="25">
        <f>-SUMIF('1.2 FY2017'!$B:$B, DataBase!A17, '1.2 FY2017'!F:F)</f>
        <v>0</v>
      </c>
      <c r="G17" s="30">
        <f>-SUMIF('1.3 FY2018'!$B:$B, DataBase!A17, '1.3 FY2018'!F:F)</f>
        <v>0</v>
      </c>
      <c r="H17" s="31" t="s">
        <v>42</v>
      </c>
    </row>
    <row r="18" spans="1:8">
      <c r="A18" s="24" t="s">
        <v>44</v>
      </c>
      <c r="B18" t="str">
        <f>+VLOOKUP($A18, '1.1 FY2016'!$B$4:$G$61, 2, FALSE)</f>
        <v>Corporate recharges</v>
      </c>
      <c r="C18" s="27" t="str">
        <f>+VLOOKUP($A18, '1.1 FY2016'!$B$4:$G$61, 3, FALSE)</f>
        <v>1</v>
      </c>
      <c r="D18" t="str">
        <f>+VLOOKUP($A18, '1.1 FY2016'!$B$4:$G$61, 4, FALSE)</f>
        <v>Greeny Ltd</v>
      </c>
      <c r="E18" s="30">
        <f>-SUMIF('1.1 FY2016'!$B:$B, DataBase!A18, '1.1 FY2016'!F:F)</f>
        <v>2156147.4</v>
      </c>
      <c r="F18" s="25">
        <f>-SUMIF('1.2 FY2017'!$B:$B, DataBase!A18, '1.2 FY2017'!F:F)</f>
        <v>1643711.145</v>
      </c>
      <c r="G18" s="30">
        <f>-SUMIF('1.3 FY2018'!$B:$B, DataBase!A18, '1.3 FY2018'!F:F)</f>
        <v>1418521.358</v>
      </c>
      <c r="H18" s="31" t="s">
        <v>203</v>
      </c>
    </row>
    <row r="19" spans="1:8">
      <c r="A19" s="24" t="s">
        <v>48</v>
      </c>
      <c r="B19" t="str">
        <f>+VLOOKUP($A19, '1.1 FY2016'!$B$4:$G$61, 2, FALSE)</f>
        <v>Corporate recharges</v>
      </c>
      <c r="C19" s="27">
        <f>+VLOOKUP($A19, '1.1 FY2016'!$B$4:$G$61, 3, FALSE)</f>
        <v>14</v>
      </c>
      <c r="D19" t="str">
        <f>+VLOOKUP($A19, '1.1 FY2016'!$B$4:$G$61, 4, FALSE)</f>
        <v>Generco Cosmetics Ltd</v>
      </c>
      <c r="E19" s="30">
        <f>-SUMIF('1.1 FY2016'!$B:$B, DataBase!A19, '1.1 FY2016'!F:F)</f>
        <v>291428.55199999997</v>
      </c>
      <c r="F19" s="25">
        <f>-SUMIF('1.2 FY2017'!$B:$B, DataBase!A19, '1.2 FY2017'!F:F)</f>
        <v>0</v>
      </c>
      <c r="G19" s="30">
        <f>-SUMIF('1.3 FY2018'!$B:$B, DataBase!A19, '1.3 FY2018'!F:F)</f>
        <v>0</v>
      </c>
      <c r="H19" s="31" t="s">
        <v>203</v>
      </c>
    </row>
    <row r="20" spans="1:8">
      <c r="A20" s="24" t="s">
        <v>50</v>
      </c>
      <c r="B20" t="str">
        <f>+VLOOKUP($A20, '1.1 FY2016'!$B$4:$G$61, 2, FALSE)</f>
        <v>Corporate recharges</v>
      </c>
      <c r="C20" s="27">
        <f>+VLOOKUP($A20, '1.1 FY2016'!$B$4:$G$61, 3, FALSE)</f>
        <v>1037</v>
      </c>
      <c r="D20" t="str">
        <f>+VLOOKUP($A20, '1.1 FY2016'!$B$4:$G$61, 4, FALSE)</f>
        <v>Generco Canada JSC</v>
      </c>
      <c r="E20" s="30">
        <f>-SUMIF('1.1 FY2016'!$B:$B, DataBase!A20, '1.1 FY2016'!F:F)</f>
        <v>0</v>
      </c>
      <c r="F20" s="25">
        <f>-SUMIF('1.2 FY2017'!$B:$B, DataBase!A20, '1.2 FY2017'!F:F)</f>
        <v>0</v>
      </c>
      <c r="G20" s="30">
        <f>-SUMIF('1.3 FY2018'!$B:$B, DataBase!A20, '1.3 FY2018'!F:F)</f>
        <v>0</v>
      </c>
      <c r="H20" s="31" t="s">
        <v>203</v>
      </c>
    </row>
    <row r="21" spans="1:8">
      <c r="A21" s="24" t="s">
        <v>52</v>
      </c>
      <c r="B21" t="str">
        <f>+VLOOKUP($A21, '1.1 FY2016'!$B$4:$G$61, 2, FALSE)</f>
        <v>Corporate recharges</v>
      </c>
      <c r="C21" s="27" t="str">
        <f>+VLOOKUP($A21, '1.1 FY2016'!$B$4:$G$61, 3, FALSE)</f>
        <v>1087</v>
      </c>
      <c r="D21" t="str">
        <f>+VLOOKUP($A21, '1.1 FY2016'!$B$4:$G$61, 4, FALSE)</f>
        <v>Gener Beauty GmbH</v>
      </c>
      <c r="E21" s="30">
        <f>-SUMIF('1.1 FY2016'!$B:$B, DataBase!A21, '1.1 FY2016'!F:F)</f>
        <v>33736.5</v>
      </c>
      <c r="F21" s="25">
        <f>-SUMIF('1.2 FY2017'!$B:$B, DataBase!A21, '1.2 FY2017'!F:F)</f>
        <v>0</v>
      </c>
      <c r="G21" s="30">
        <f>-SUMIF('1.3 FY2018'!$B:$B, DataBase!A21, '1.3 FY2018'!F:F)</f>
        <v>0</v>
      </c>
      <c r="H21" s="31" t="s">
        <v>203</v>
      </c>
    </row>
    <row r="22" spans="1:8">
      <c r="A22" s="24" t="s">
        <v>55</v>
      </c>
      <c r="B22" t="str">
        <f>+VLOOKUP($A22, '1.1 FY2016'!$B$4:$G$61, 2, FALSE)</f>
        <v>Corporate recharges</v>
      </c>
      <c r="C22" s="27">
        <f>+VLOOKUP($A22, '1.1 FY2016'!$B$4:$G$61, 3, FALSE)</f>
        <v>1009</v>
      </c>
      <c r="D22" t="str">
        <f>+VLOOKUP($A22, '1.1 FY2016'!$B$4:$G$61, 4, FALSE)</f>
        <v>Green Ventures Ltd</v>
      </c>
      <c r="E22" s="30">
        <f>-SUMIF('1.1 FY2016'!$B:$B, DataBase!A22, '1.1 FY2016'!F:F)</f>
        <v>0</v>
      </c>
      <c r="F22" s="25">
        <f>-SUMIF('1.2 FY2017'!$B:$B, DataBase!A22, '1.2 FY2017'!F:F)</f>
        <v>0</v>
      </c>
      <c r="G22" s="30">
        <f>-SUMIF('1.3 FY2018'!$B:$B, DataBase!A22, '1.3 FY2018'!F:F)</f>
        <v>0</v>
      </c>
      <c r="H22" s="31" t="s">
        <v>203</v>
      </c>
    </row>
    <row r="23" spans="1:8">
      <c r="A23" s="24" t="s">
        <v>56</v>
      </c>
      <c r="B23" t="str">
        <f>+VLOOKUP($A23, '1.1 FY2016'!$B$4:$G$61, 2, FALSE)</f>
        <v>Corporate recharges</v>
      </c>
      <c r="C23" s="27">
        <f>+VLOOKUP($A23, '1.1 FY2016'!$B$4:$G$61, 3, FALSE)</f>
        <v>1007</v>
      </c>
      <c r="D23" t="str">
        <f>+VLOOKUP($A23, '1.1 FY2016'!$B$4:$G$61, 4, FALSE)</f>
        <v>Generco Sunshine JSC</v>
      </c>
      <c r="E23" s="30">
        <f>-SUMIF('1.1 FY2016'!$B:$B, DataBase!A23, '1.1 FY2016'!F:F)</f>
        <v>0</v>
      </c>
      <c r="F23" s="25">
        <f>-SUMIF('1.2 FY2017'!$B:$B, DataBase!A23, '1.2 FY2017'!F:F)</f>
        <v>0</v>
      </c>
      <c r="G23" s="30">
        <f>-SUMIF('1.3 FY2018'!$B:$B, DataBase!A23, '1.3 FY2018'!F:F)</f>
        <v>0</v>
      </c>
      <c r="H23" s="31" t="s">
        <v>203</v>
      </c>
    </row>
    <row r="24" spans="1:8">
      <c r="A24" s="24" t="s">
        <v>57</v>
      </c>
      <c r="B24" t="str">
        <f>+VLOOKUP($A24, '1.1 FY2016'!$B$4:$G$61, 2, FALSE)</f>
        <v>Corporate recharges</v>
      </c>
      <c r="C24" s="27">
        <f>+VLOOKUP($A24, '1.1 FY2016'!$B$4:$G$61, 3, FALSE)</f>
        <v>1008</v>
      </c>
      <c r="D24" t="str">
        <f>+VLOOKUP($A24, '1.1 FY2016'!$B$4:$G$61, 4, FALSE)</f>
        <v>Greenco Ltd</v>
      </c>
      <c r="E24" s="30">
        <f>-SUMIF('1.1 FY2016'!$B:$B, DataBase!A24, '1.1 FY2016'!F:F)</f>
        <v>0</v>
      </c>
      <c r="F24" s="25">
        <f>-SUMIF('1.2 FY2017'!$B:$B, DataBase!A24, '1.2 FY2017'!F:F)</f>
        <v>0</v>
      </c>
      <c r="G24" s="30">
        <f>-SUMIF('1.3 FY2018'!$B:$B, DataBase!A24, '1.3 FY2018'!F:F)</f>
        <v>0</v>
      </c>
      <c r="H24" s="31" t="s">
        <v>203</v>
      </c>
    </row>
    <row r="25" spans="1:8">
      <c r="A25" s="24" t="s">
        <v>58</v>
      </c>
      <c r="B25" t="str">
        <f>+VLOOKUP($A25, '1.1 FY2016'!$B$4:$G$61, 2, FALSE)</f>
        <v>Corporate recharges</v>
      </c>
      <c r="C25" s="27">
        <f>+VLOOKUP($A25, '1.1 FY2016'!$B$4:$G$61, 3, FALSE)</f>
        <v>1240</v>
      </c>
      <c r="D25" t="str">
        <f>+VLOOKUP($A25, '1.1 FY2016'!$B$4:$G$61, 4, FALSE)</f>
        <v xml:space="preserve">Generco UK </v>
      </c>
      <c r="E25" s="30">
        <f>-SUMIF('1.1 FY2016'!$B:$B, DataBase!A25, '1.1 FY2016'!F:F)</f>
        <v>199600.4</v>
      </c>
      <c r="F25" s="25">
        <f>-SUMIF('1.2 FY2017'!$B:$B, DataBase!A25, '1.2 FY2017'!F:F)</f>
        <v>10461.36</v>
      </c>
      <c r="G25" s="30">
        <f>-SUMIF('1.3 FY2018'!$B:$B, DataBase!A25, '1.3 FY2018'!F:F)</f>
        <v>0</v>
      </c>
      <c r="H25" s="31" t="s">
        <v>203</v>
      </c>
    </row>
    <row r="26" spans="1:8">
      <c r="A26" s="24" t="s">
        <v>60</v>
      </c>
      <c r="B26" t="str">
        <f>+VLOOKUP($A26, '1.1 FY2016'!$B$4:$G$61, 2, FALSE)</f>
        <v>Corporate recharges</v>
      </c>
      <c r="C26" s="27">
        <f>+VLOOKUP($A26, '1.1 FY2016'!$B$4:$G$61, 3, FALSE)</f>
        <v>111111</v>
      </c>
      <c r="D26" t="str">
        <f>+VLOOKUP($A26, '1.1 FY2016'!$B$4:$G$61, 4, FALSE)</f>
        <v>External</v>
      </c>
      <c r="E26" s="30">
        <f>-SUMIF('1.1 FY2016'!$B:$B, DataBase!A26, '1.1 FY2016'!F:F)</f>
        <v>539141.4</v>
      </c>
      <c r="F26" s="25">
        <f>-SUMIF('1.2 FY2017'!$B:$B, DataBase!A26, '1.2 FY2017'!F:F)</f>
        <v>6785.94</v>
      </c>
      <c r="G26" s="30">
        <f>-SUMIF('1.3 FY2018'!$B:$B, DataBase!A26, '1.3 FY2018'!F:F)</f>
        <v>902857.84299999999</v>
      </c>
      <c r="H26" s="31" t="s">
        <v>203</v>
      </c>
    </row>
    <row r="27" spans="1:8">
      <c r="A27" s="24" t="s">
        <v>61</v>
      </c>
      <c r="B27" t="str">
        <f>+VLOOKUP($A27, '1.1 FY2016'!$B$4:$G$61, 2, FALSE)</f>
        <v>Other income</v>
      </c>
      <c r="C27" s="27">
        <f>+VLOOKUP($A27, '1.1 FY2016'!$B$4:$G$61, 3, FALSE)</f>
        <v>111111</v>
      </c>
      <c r="D27" t="str">
        <f>+VLOOKUP($A27, '1.1 FY2016'!$B$4:$G$61, 4, FALSE)</f>
        <v>External</v>
      </c>
      <c r="E27" s="30">
        <f>-SUMIF('1.1 FY2016'!$B:$B, DataBase!A27, '1.1 FY2016'!F:F)</f>
        <v>57.221999999999994</v>
      </c>
      <c r="F27" s="25">
        <f>-SUMIF('1.2 FY2017'!$B:$B, DataBase!A27, '1.2 FY2017'!F:F)</f>
        <v>-9793.84</v>
      </c>
      <c r="G27" s="30">
        <f>-SUMIF('1.3 FY2018'!$B:$B, DataBase!A27, '1.3 FY2018'!F:F)</f>
        <v>15872.001999999999</v>
      </c>
      <c r="H27" s="31" t="s">
        <v>62</v>
      </c>
    </row>
    <row r="28" spans="1:8">
      <c r="A28" s="24" t="s">
        <v>63</v>
      </c>
      <c r="B28" t="str">
        <f>+VLOOKUP($A28, '1.1 FY2016'!$B$4:$G$61, 2, FALSE)</f>
        <v>Marketing expenses</v>
      </c>
      <c r="C28" s="27">
        <f>+VLOOKUP($A28, '1.1 FY2016'!$B$4:$G$61, 3, FALSE)</f>
        <v>111111</v>
      </c>
      <c r="D28" t="str">
        <f>+VLOOKUP($A28, '1.1 FY2016'!$B$4:$G$61, 4, FALSE)</f>
        <v>External</v>
      </c>
      <c r="E28" s="30">
        <f>-SUMIF('1.1 FY2016'!$B:$B, DataBase!A28, '1.1 FY2016'!F:F)</f>
        <v>-22314.879999999997</v>
      </c>
      <c r="F28" s="25">
        <f>-SUMIF('1.2 FY2017'!$B:$B, DataBase!A28, '1.2 FY2017'!F:F)</f>
        <v>-65947.7</v>
      </c>
      <c r="G28" s="30">
        <f>-SUMIF('1.3 FY2018'!$B:$B, DataBase!A28, '1.3 FY2018'!F:F)</f>
        <v>-57.317999999999998</v>
      </c>
      <c r="H28" s="31" t="s">
        <v>201</v>
      </c>
    </row>
    <row r="29" spans="1:8">
      <c r="A29" s="24" t="s">
        <v>65</v>
      </c>
      <c r="B29" t="str">
        <f>+VLOOKUP($A29, '1.1 FY2016'!$B$4:$G$61, 2, FALSE)</f>
        <v>Software&amp;IT</v>
      </c>
      <c r="C29" s="27">
        <f>+VLOOKUP($A29, '1.1 FY2016'!$B$4:$G$61, 3, FALSE)</f>
        <v>88</v>
      </c>
      <c r="D29" t="str">
        <f>+VLOOKUP($A29, '1.1 FY2016'!$B$4:$G$61, 4, FALSE)</f>
        <v>Generco Ltd</v>
      </c>
      <c r="E29" s="30">
        <f>-SUMIF('1.1 FY2016'!$B:$B, DataBase!A29, '1.1 FY2016'!F:F)</f>
        <v>-204000</v>
      </c>
      <c r="F29" s="25">
        <f>-SUMIF('1.2 FY2017'!$B:$B, DataBase!A29, '1.2 FY2017'!F:F)</f>
        <v>0</v>
      </c>
      <c r="G29" s="30">
        <f>-SUMIF('1.3 FY2018'!$B:$B, DataBase!A29, '1.3 FY2018'!F:F)</f>
        <v>0</v>
      </c>
      <c r="H29" s="31" t="s">
        <v>201</v>
      </c>
    </row>
    <row r="30" spans="1:8">
      <c r="A30" s="24" t="s">
        <v>67</v>
      </c>
      <c r="B30" t="str">
        <f>+VLOOKUP($A30, '1.1 FY2016'!$B$4:$G$61, 2, FALSE)</f>
        <v>Software&amp;IT</v>
      </c>
      <c r="C30" s="27">
        <f>+VLOOKUP($A30, '1.1 FY2016'!$B$4:$G$61, 3, FALSE)</f>
        <v>111111</v>
      </c>
      <c r="D30" t="str">
        <f>+VLOOKUP($A30, '1.1 FY2016'!$B$4:$G$61, 4, FALSE)</f>
        <v>External</v>
      </c>
      <c r="E30" s="30">
        <f>-SUMIF('1.1 FY2016'!$B:$B, DataBase!A30, '1.1 FY2016'!F:F)</f>
        <v>-138.41399999999999</v>
      </c>
      <c r="F30" s="25">
        <f>-SUMIF('1.2 FY2017'!$B:$B, DataBase!A30, '1.2 FY2017'!F:F)</f>
        <v>-5138.91</v>
      </c>
      <c r="G30" s="30">
        <f>-SUMIF('1.3 FY2018'!$B:$B, DataBase!A30, '1.3 FY2018'!F:F)</f>
        <v>-19198.66</v>
      </c>
      <c r="H30" s="31" t="s">
        <v>201</v>
      </c>
    </row>
    <row r="31" spans="1:8">
      <c r="A31" s="24" t="s">
        <v>68</v>
      </c>
      <c r="B31" t="str">
        <f>+VLOOKUP($A31, '1.1 FY2016'!$B$4:$G$61, 2, FALSE)</f>
        <v>Leasings</v>
      </c>
      <c r="C31" s="27">
        <f>+VLOOKUP($A31, '1.1 FY2016'!$B$4:$G$61, 3, FALSE)</f>
        <v>111111</v>
      </c>
      <c r="D31" t="str">
        <f>+VLOOKUP($A31, '1.1 FY2016'!$B$4:$G$61, 4, FALSE)</f>
        <v>External</v>
      </c>
      <c r="E31" s="30">
        <f>-SUMIF('1.1 FY2016'!$B:$B, DataBase!A31, '1.1 FY2016'!F:F)</f>
        <v>-1127445.872</v>
      </c>
      <c r="F31" s="25">
        <f>-SUMIF('1.2 FY2017'!$B:$B, DataBase!A31, '1.2 FY2017'!F:F)</f>
        <v>-1055381.4750000001</v>
      </c>
      <c r="G31" s="30">
        <f>-SUMIF('1.3 FY2018'!$B:$B, DataBase!A31, '1.3 FY2018'!F:F)</f>
        <v>172933.44899999999</v>
      </c>
      <c r="H31" s="31" t="s">
        <v>69</v>
      </c>
    </row>
    <row r="32" spans="1:8">
      <c r="A32" s="24" t="s">
        <v>70</v>
      </c>
      <c r="B32" t="str">
        <f>+VLOOKUP($A32, '1.1 FY2016'!$B$4:$G$61, 2, FALSE)</f>
        <v>Service expenses</v>
      </c>
      <c r="C32" s="27" t="str">
        <f>+VLOOKUP($A32, '1.1 FY2016'!$B$4:$G$61, 3, FALSE)</f>
        <v>43</v>
      </c>
      <c r="D32" t="str">
        <f>+VLOOKUP($A32, '1.1 FY2016'!$B$4:$G$61, 4, FALSE)</f>
        <v>Greeny France SL</v>
      </c>
      <c r="E32" s="30">
        <f>-SUMIF('1.1 FY2016'!$B:$B, DataBase!A32, '1.1 FY2016'!F:F)</f>
        <v>-133722</v>
      </c>
      <c r="F32" s="25">
        <f>-SUMIF('1.2 FY2017'!$B:$B, DataBase!A32, '1.2 FY2017'!F:F)</f>
        <v>0</v>
      </c>
      <c r="G32" s="30">
        <f>-SUMIF('1.3 FY2018'!$B:$B, DataBase!A32, '1.3 FY2018'!F:F)</f>
        <v>0</v>
      </c>
      <c r="H32" s="31" t="s">
        <v>204</v>
      </c>
    </row>
    <row r="33" spans="1:8">
      <c r="A33" s="24" t="s">
        <v>74</v>
      </c>
      <c r="B33" t="str">
        <f>+VLOOKUP($A33, '1.1 FY2016'!$B$4:$G$61, 2, FALSE)</f>
        <v>Service expenses</v>
      </c>
      <c r="C33" s="27" t="str">
        <f>+VLOOKUP($A33, '1.1 FY2016'!$B$4:$G$61, 3, FALSE)</f>
        <v>2240</v>
      </c>
      <c r="D33" t="str">
        <f>+VLOOKUP($A33, '1.1 FY2016'!$B$4:$G$61, 4, FALSE)</f>
        <v>Greeny Germany GmbH</v>
      </c>
      <c r="E33" s="30">
        <f>-SUMIF('1.1 FY2016'!$B:$B, DataBase!A33, '1.1 FY2016'!F:F)</f>
        <v>-328061.886</v>
      </c>
      <c r="F33" s="25">
        <f>-SUMIF('1.2 FY2017'!$B:$B, DataBase!A33, '1.2 FY2017'!F:F)</f>
        <v>-430845.34499999997</v>
      </c>
      <c r="G33" s="30">
        <f>-SUMIF('1.3 FY2018'!$B:$B, DataBase!A33, '1.3 FY2018'!F:F)</f>
        <v>0</v>
      </c>
      <c r="H33" s="31" t="s">
        <v>204</v>
      </c>
    </row>
    <row r="34" spans="1:8">
      <c r="A34" s="24" t="s">
        <v>77</v>
      </c>
      <c r="B34" t="str">
        <f>+VLOOKUP($A34, '1.1 FY2016'!$B$4:$G$61, 2, FALSE)</f>
        <v>Service expenses</v>
      </c>
      <c r="C34" s="27">
        <f>+VLOOKUP($A34, '1.1 FY2016'!$B$4:$G$61, 3, FALSE)</f>
        <v>111111</v>
      </c>
      <c r="D34" t="str">
        <f>+VLOOKUP($A34, '1.1 FY2016'!$B$4:$G$61, 4, FALSE)</f>
        <v>External</v>
      </c>
      <c r="E34" s="30">
        <f>-SUMIF('1.1 FY2016'!$B:$B, DataBase!A34, '1.1 FY2016'!F:F)</f>
        <v>-2081304.3219999997</v>
      </c>
      <c r="F34" s="25">
        <f>-SUMIF('1.2 FY2017'!$B:$B, DataBase!A34, '1.2 FY2017'!F:F)</f>
        <v>-1130021</v>
      </c>
      <c r="G34" s="30">
        <f>-SUMIF('1.3 FY2018'!$B:$B, DataBase!A34, '1.3 FY2018'!F:F)</f>
        <v>-1481408.47</v>
      </c>
      <c r="H34" s="31" t="s">
        <v>204</v>
      </c>
    </row>
    <row r="35" spans="1:8">
      <c r="A35" s="24" t="s">
        <v>78</v>
      </c>
      <c r="B35" t="str">
        <f>+VLOOKUP($A35, '1.1 FY2016'!$B$4:$G$61, 2, FALSE)</f>
        <v>Charges and contributions</v>
      </c>
      <c r="C35" s="27">
        <f>+VLOOKUP($A35, '1.1 FY2016'!$B$4:$G$61, 3, FALSE)</f>
        <v>111111</v>
      </c>
      <c r="D35" t="str">
        <f>+VLOOKUP($A35, '1.1 FY2016'!$B$4:$G$61, 4, FALSE)</f>
        <v>External</v>
      </c>
      <c r="E35" s="30">
        <f>-SUMIF('1.1 FY2016'!$B:$B, DataBase!A35, '1.1 FY2016'!F:F)</f>
        <v>-33410.031999999999</v>
      </c>
      <c r="F35" s="25">
        <f>-SUMIF('1.2 FY2017'!$B:$B, DataBase!A35, '1.2 FY2017'!F:F)</f>
        <v>-7293.5450000000001</v>
      </c>
      <c r="G35" s="30">
        <f>-SUMIF('1.3 FY2018'!$B:$B, DataBase!A35, '1.3 FY2018'!F:F)</f>
        <v>-40048.799999999996</v>
      </c>
      <c r="H35" s="31" t="s">
        <v>201</v>
      </c>
    </row>
    <row r="36" spans="1:8">
      <c r="A36" s="24" t="s">
        <v>80</v>
      </c>
      <c r="B36" t="str">
        <f>+VLOOKUP($A36, '1.1 FY2016'!$B$4:$G$61, 2, FALSE)</f>
        <v>Insurance expenses</v>
      </c>
      <c r="C36" s="27">
        <f>+VLOOKUP($A36, '1.1 FY2016'!$B$4:$G$61, 3, FALSE)</f>
        <v>111111</v>
      </c>
      <c r="D36" t="str">
        <f>+VLOOKUP($A36, '1.1 FY2016'!$B$4:$G$61, 4, FALSE)</f>
        <v>External</v>
      </c>
      <c r="E36" s="30">
        <f>-SUMIF('1.1 FY2016'!$B:$B, DataBase!A36, '1.1 FY2016'!F:F)</f>
        <v>-213090.85199999998</v>
      </c>
      <c r="F36" s="25">
        <f>-SUMIF('1.2 FY2017'!$B:$B, DataBase!A36, '1.2 FY2017'!F:F)</f>
        <v>-48468.665000000001</v>
      </c>
      <c r="G36" s="30">
        <f>-SUMIF('1.3 FY2018'!$B:$B, DataBase!A36, '1.3 FY2018'!F:F)</f>
        <v>-64039.82699999999</v>
      </c>
      <c r="H36" s="32" t="s">
        <v>205</v>
      </c>
    </row>
    <row r="37" spans="1:8">
      <c r="A37" s="24" t="s">
        <v>82</v>
      </c>
      <c r="B37" t="str">
        <f>+VLOOKUP($A37, '1.1 FY2016'!$B$4:$G$61, 2, FALSE)</f>
        <v>Travel expenses</v>
      </c>
      <c r="C37" s="27">
        <f>+VLOOKUP($A37, '1.1 FY2016'!$B$4:$G$61, 3, FALSE)</f>
        <v>111111</v>
      </c>
      <c r="D37" t="str">
        <f>+VLOOKUP($A37, '1.1 FY2016'!$B$4:$G$61, 4, FALSE)</f>
        <v>External</v>
      </c>
      <c r="E37" s="30">
        <f>-SUMIF('1.1 FY2016'!$B:$B, DataBase!A37, '1.1 FY2016'!F:F)</f>
        <v>-1813525.004</v>
      </c>
      <c r="F37" s="25">
        <f>-SUMIF('1.2 FY2017'!$B:$B, DataBase!A37, '1.2 FY2017'!F:F)</f>
        <v>-2393259.19</v>
      </c>
      <c r="G37" s="30">
        <f>-SUMIF('1.3 FY2018'!$B:$B, DataBase!A37, '1.3 FY2018'!F:F)</f>
        <v>-2514431.8869999996</v>
      </c>
      <c r="H37" s="31" t="s">
        <v>201</v>
      </c>
    </row>
    <row r="38" spans="1:8">
      <c r="A38" s="24" t="s">
        <v>84</v>
      </c>
      <c r="B38" t="str">
        <f>+VLOOKUP($A38, '1.1 FY2016'!$B$4:$G$61, 2, FALSE)</f>
        <v>Utility expenses</v>
      </c>
      <c r="C38" s="27">
        <f>+VLOOKUP($A38, '1.1 FY2016'!$B$4:$G$61, 3, FALSE)</f>
        <v>111111</v>
      </c>
      <c r="D38" t="str">
        <f>+VLOOKUP($A38, '1.1 FY2016'!$B$4:$G$61, 4, FALSE)</f>
        <v>External</v>
      </c>
      <c r="E38" s="30">
        <f>-SUMIF('1.1 FY2016'!$B:$B, DataBase!A38, '1.1 FY2016'!F:F)</f>
        <v>-5552.2</v>
      </c>
      <c r="F38" s="25">
        <f>-SUMIF('1.2 FY2017'!$B:$B, DataBase!A38, '1.2 FY2017'!F:F)</f>
        <v>-23069.654999999999</v>
      </c>
      <c r="G38" s="30">
        <f>-SUMIF('1.3 FY2018'!$B:$B, DataBase!A38, '1.3 FY2018'!F:F)</f>
        <v>-4194.2999999999993</v>
      </c>
      <c r="H38" s="31" t="s">
        <v>201</v>
      </c>
    </row>
    <row r="39" spans="1:8">
      <c r="A39" s="24" t="s">
        <v>86</v>
      </c>
      <c r="B39" t="str">
        <f>+VLOOKUP($A39, '1.1 FY2016'!$B$4:$G$61, 2, FALSE)</f>
        <v>Legal expenses</v>
      </c>
      <c r="C39" s="27">
        <f>+VLOOKUP($A39, '1.1 FY2016'!$B$4:$G$61, 3, FALSE)</f>
        <v>111111</v>
      </c>
      <c r="D39" t="str">
        <f>+VLOOKUP($A39, '1.1 FY2016'!$B$4:$G$61, 4, FALSE)</f>
        <v>External</v>
      </c>
      <c r="E39" s="30">
        <f>-SUMIF('1.1 FY2016'!$B:$B, DataBase!A39, '1.1 FY2016'!F:F)</f>
        <v>-43868.975999999995</v>
      </c>
      <c r="F39" s="25">
        <f>-SUMIF('1.2 FY2017'!$B:$B, DataBase!A39, '1.2 FY2017'!F:F)</f>
        <v>-208366.935</v>
      </c>
      <c r="G39" s="30">
        <f>-SUMIF('1.3 FY2018'!$B:$B, DataBase!A39, '1.3 FY2018'!F:F)</f>
        <v>-106525.708</v>
      </c>
      <c r="H39" s="31" t="s">
        <v>201</v>
      </c>
    </row>
    <row r="40" spans="1:8">
      <c r="A40" s="24" t="s">
        <v>88</v>
      </c>
      <c r="B40" t="str">
        <f>+VLOOKUP($A40, '1.1 FY2016'!$B$4:$G$61, 2, FALSE)</f>
        <v>Misc costs</v>
      </c>
      <c r="C40" s="27">
        <f>+VLOOKUP($A40, '1.1 FY2016'!$B$4:$G$61, 3, FALSE)</f>
        <v>111101</v>
      </c>
      <c r="D40" t="str">
        <f>+VLOOKUP($A40, '1.1 FY2016'!$B$4:$G$61, 4, FALSE)</f>
        <v>Not assigned</v>
      </c>
      <c r="E40" s="30">
        <f>-SUMIF('1.1 FY2016'!$B:$B, DataBase!A40, '1.1 FY2016'!F:F)</f>
        <v>-10934.671999999999</v>
      </c>
      <c r="F40" s="25">
        <f>-SUMIF('1.2 FY2017'!$B:$B, DataBase!A40, '1.2 FY2017'!F:F)</f>
        <v>-20323.309999999998</v>
      </c>
      <c r="G40" s="30">
        <f>-SUMIF('1.3 FY2018'!$B:$B, DataBase!A40, '1.3 FY2018'!F:F)</f>
        <v>-109811.284</v>
      </c>
      <c r="H40" s="31" t="s">
        <v>201</v>
      </c>
    </row>
    <row r="41" spans="1:8">
      <c r="A41" s="24" t="s">
        <v>90</v>
      </c>
      <c r="B41" t="str">
        <f>+VLOOKUP($A41, '1.1 FY2016'!$B$4:$G$61, 2, FALSE)</f>
        <v>Consulting fees</v>
      </c>
      <c r="C41" s="27">
        <f>+VLOOKUP($A41, '1.1 FY2016'!$B$4:$G$61, 3, FALSE)</f>
        <v>111111</v>
      </c>
      <c r="D41" t="str">
        <f>+VLOOKUP($A41, '1.1 FY2016'!$B$4:$G$61, 4, FALSE)</f>
        <v>External</v>
      </c>
      <c r="E41" s="30">
        <f>-SUMIF('1.1 FY2016'!$B:$B, DataBase!A41, '1.1 FY2016'!F:F)</f>
        <v>-20400</v>
      </c>
      <c r="F41" s="25">
        <f>-SUMIF('1.2 FY2017'!$B:$B, DataBase!A41, '1.2 FY2017'!F:F)</f>
        <v>-169489</v>
      </c>
      <c r="G41" s="30">
        <f>-SUMIF('1.3 FY2018'!$B:$B, DataBase!A41, '1.3 FY2018'!F:F)</f>
        <v>-61111.483999999997</v>
      </c>
      <c r="H41" s="31" t="s">
        <v>201</v>
      </c>
    </row>
    <row r="42" spans="1:8">
      <c r="A42" s="24" t="s">
        <v>92</v>
      </c>
      <c r="B42" t="str">
        <f>+VLOOKUP($A42, '1.1 FY2016'!$B$4:$G$61, 2, FALSE)</f>
        <v>Misc extraordinary expenses</v>
      </c>
      <c r="C42" s="27">
        <f>+VLOOKUP($A42, '1.1 FY2016'!$B$4:$G$61, 3, FALSE)</f>
        <v>105</v>
      </c>
      <c r="D42" t="str">
        <f>+VLOOKUP($A42, '1.1 FY2016'!$B$4:$G$61, 4, FALSE)</f>
        <v>Generco Healthcare Ltd</v>
      </c>
      <c r="E42" s="30">
        <f>-SUMIF('1.1 FY2016'!$B:$B, DataBase!A42, '1.1 FY2016'!F:F)</f>
        <v>0</v>
      </c>
      <c r="F42" s="25">
        <f>-SUMIF('1.2 FY2017'!$B:$B, DataBase!A42, '1.2 FY2017'!F:F)</f>
        <v>0</v>
      </c>
      <c r="G42" s="30">
        <f>-SUMIF('1.3 FY2018'!$B:$B, DataBase!A42, '1.3 FY2018'!F:F)</f>
        <v>-1684415.2999999998</v>
      </c>
      <c r="H42" s="31" t="s">
        <v>206</v>
      </c>
    </row>
    <row r="43" spans="1:8">
      <c r="A43" s="24" t="s">
        <v>95</v>
      </c>
      <c r="B43" t="str">
        <f>+VLOOKUP($A43, '1.1 FY2016'!$B$4:$G$61, 2, FALSE)</f>
        <v>Misc extraordinary expenses</v>
      </c>
      <c r="C43" s="27">
        <f>+VLOOKUP($A43, '1.1 FY2016'!$B$4:$G$61, 3, FALSE)</f>
        <v>111111</v>
      </c>
      <c r="D43" t="str">
        <f>+VLOOKUP($A43, '1.1 FY2016'!$B$4:$G$61, 4, FALSE)</f>
        <v>External</v>
      </c>
      <c r="E43" s="30">
        <f>-SUMIF('1.1 FY2016'!$B:$B, DataBase!A43, '1.1 FY2016'!F:F)</f>
        <v>-563918.152</v>
      </c>
      <c r="F43" s="25">
        <f>-SUMIF('1.2 FY2017'!$B:$B, DataBase!A43, '1.2 FY2017'!F:F)</f>
        <v>-638869.13</v>
      </c>
      <c r="G43" s="30">
        <f>-SUMIF('1.3 FY2018'!$B:$B, DataBase!A43, '1.3 FY2018'!F:F)</f>
        <v>-575626.2649999999</v>
      </c>
      <c r="H43" s="31" t="s">
        <v>206</v>
      </c>
    </row>
    <row r="44" spans="1:8">
      <c r="A44" s="24" t="s">
        <v>96</v>
      </c>
      <c r="B44" t="str">
        <f>+VLOOKUP($A44, '1.1 FY2016'!$B$4:$G$61, 2, FALSE)</f>
        <v>Difference from eliminations</v>
      </c>
      <c r="C44" s="27">
        <f>+VLOOKUP($A44, '1.1 FY2016'!$B$4:$G$61, 3, FALSE)</f>
        <v>1009</v>
      </c>
      <c r="D44" t="str">
        <f>+VLOOKUP($A44, '1.1 FY2016'!$B$4:$G$61, 4, FALSE)</f>
        <v>Green Ventures Ltd</v>
      </c>
      <c r="E44" s="30">
        <f>-SUMIF('1.1 FY2016'!$B:$B, DataBase!A44, '1.1 FY2016'!F:F)</f>
        <v>0</v>
      </c>
      <c r="F44" s="25">
        <f>-SUMIF('1.2 FY2017'!$B:$B, DataBase!A44, '1.2 FY2017'!F:F)</f>
        <v>0</v>
      </c>
      <c r="G44" s="30">
        <f>-SUMIF('1.3 FY2018'!$B:$B, DataBase!A44, '1.3 FY2018'!F:F)</f>
        <v>0</v>
      </c>
      <c r="H44" s="32" t="s">
        <v>205</v>
      </c>
    </row>
    <row r="45" spans="1:8">
      <c r="A45" s="24" t="s">
        <v>98</v>
      </c>
      <c r="B45" t="str">
        <f>+VLOOKUP($A45, '1.1 FY2016'!$B$4:$G$61, 2, FALSE)</f>
        <v>Difference from eliminations</v>
      </c>
      <c r="C45" s="27">
        <f>+VLOOKUP($A45, '1.1 FY2016'!$B$4:$G$61, 3, FALSE)</f>
        <v>1007</v>
      </c>
      <c r="D45" t="str">
        <f>+VLOOKUP($A45, '1.1 FY2016'!$B$4:$G$61, 4, FALSE)</f>
        <v>Generco Sunshine JSC</v>
      </c>
      <c r="E45" s="30">
        <f>-SUMIF('1.1 FY2016'!$B:$B, DataBase!A45, '1.1 FY2016'!F:F)</f>
        <v>0</v>
      </c>
      <c r="F45" s="25">
        <f>-SUMIF('1.2 FY2017'!$B:$B, DataBase!A45, '1.2 FY2017'!F:F)</f>
        <v>0</v>
      </c>
      <c r="G45" s="30">
        <f>-SUMIF('1.3 FY2018'!$B:$B, DataBase!A45, '1.3 FY2018'!F:F)</f>
        <v>0</v>
      </c>
      <c r="H45" s="32" t="s">
        <v>205</v>
      </c>
    </row>
    <row r="46" spans="1:8">
      <c r="A46" s="24" t="s">
        <v>99</v>
      </c>
      <c r="B46" t="str">
        <f>+VLOOKUP($A46, '1.1 FY2016'!$B$4:$G$61, 2, FALSE)</f>
        <v>Difference from eliminations</v>
      </c>
      <c r="C46" s="27">
        <f>+VLOOKUP($A46, '1.1 FY2016'!$B$4:$G$61, 3, FALSE)</f>
        <v>1008</v>
      </c>
      <c r="D46" t="str">
        <f>+VLOOKUP($A46, '1.1 FY2016'!$B$4:$G$61, 4, FALSE)</f>
        <v>Greenco Ltd</v>
      </c>
      <c r="E46" s="30">
        <f>-SUMIF('1.1 FY2016'!$B:$B, DataBase!A46, '1.1 FY2016'!F:F)</f>
        <v>0</v>
      </c>
      <c r="F46" s="25">
        <f>-SUMIF('1.2 FY2017'!$B:$B, DataBase!A46, '1.2 FY2017'!F:F)</f>
        <v>0</v>
      </c>
      <c r="G46" s="30">
        <f>-SUMIF('1.3 FY2018'!$B:$B, DataBase!A46, '1.3 FY2018'!F:F)</f>
        <v>0</v>
      </c>
      <c r="H46" s="32" t="s">
        <v>205</v>
      </c>
    </row>
    <row r="47" spans="1:8">
      <c r="A47" s="24" t="s">
        <v>100</v>
      </c>
      <c r="B47" t="str">
        <f>+VLOOKUP($A47, '1.1 FY2016'!$B$4:$G$61, 2, FALSE)</f>
        <v>Interest income</v>
      </c>
      <c r="C47" s="27">
        <f>+VLOOKUP($A47, '1.1 FY2016'!$B$4:$G$61, 3, FALSE)</f>
        <v>1009</v>
      </c>
      <c r="D47" t="str">
        <f>+VLOOKUP($A47, '1.1 FY2016'!$B$4:$G$61, 4, FALSE)</f>
        <v>Green Ventures Ltd</v>
      </c>
      <c r="E47" s="30">
        <f>-SUMIF('1.1 FY2016'!$B:$B, DataBase!A47, '1.1 FY2016'!F:F)</f>
        <v>0</v>
      </c>
      <c r="F47" s="25">
        <f>-SUMIF('1.2 FY2017'!$B:$B, DataBase!A47, '1.2 FY2017'!F:F)</f>
        <v>0</v>
      </c>
      <c r="G47" s="30">
        <f>-SUMIF('1.3 FY2018'!$B:$B, DataBase!A47, '1.3 FY2018'!F:F)</f>
        <v>0</v>
      </c>
      <c r="H47" s="31" t="s">
        <v>207</v>
      </c>
    </row>
    <row r="48" spans="1:8">
      <c r="A48" s="24" t="s">
        <v>102</v>
      </c>
      <c r="B48" t="str">
        <f>+VLOOKUP($A48, '1.1 FY2016'!$B$4:$G$61, 2, FALSE)</f>
        <v>Interest income</v>
      </c>
      <c r="C48" s="27">
        <f>+VLOOKUP($A48, '1.1 FY2016'!$B$4:$G$61, 3, FALSE)</f>
        <v>1007</v>
      </c>
      <c r="D48" t="str">
        <f>+VLOOKUP($A48, '1.1 FY2016'!$B$4:$G$61, 4, FALSE)</f>
        <v>Generco Sunshine JSC</v>
      </c>
      <c r="E48" s="30">
        <f>-SUMIF('1.1 FY2016'!$B:$B, DataBase!A48, '1.1 FY2016'!F:F)</f>
        <v>0</v>
      </c>
      <c r="F48" s="25">
        <f>-SUMIF('1.2 FY2017'!$B:$B, DataBase!A48, '1.2 FY2017'!F:F)</f>
        <v>0</v>
      </c>
      <c r="G48" s="30">
        <f>-SUMIF('1.3 FY2018'!$B:$B, DataBase!A48, '1.3 FY2018'!F:F)</f>
        <v>0</v>
      </c>
      <c r="H48" s="31" t="s">
        <v>207</v>
      </c>
    </row>
    <row r="49" spans="1:8">
      <c r="A49" s="24" t="s">
        <v>103</v>
      </c>
      <c r="B49" t="str">
        <f>+VLOOKUP($A49, '1.1 FY2016'!$B$4:$G$61, 2, FALSE)</f>
        <v>Interest income</v>
      </c>
      <c r="C49" s="27">
        <f>+VLOOKUP($A49, '1.1 FY2016'!$B$4:$G$61, 3, FALSE)</f>
        <v>1008</v>
      </c>
      <c r="D49" t="str">
        <f>+VLOOKUP($A49, '1.1 FY2016'!$B$4:$G$61, 4, FALSE)</f>
        <v>Greenco Ltd</v>
      </c>
      <c r="E49" s="30">
        <f>-SUMIF('1.1 FY2016'!$B:$B, DataBase!A49, '1.1 FY2016'!F:F)</f>
        <v>0</v>
      </c>
      <c r="F49" s="25">
        <f>-SUMIF('1.2 FY2017'!$B:$B, DataBase!A49, '1.2 FY2017'!F:F)</f>
        <v>0</v>
      </c>
      <c r="G49" s="30">
        <f>-SUMIF('1.3 FY2018'!$B:$B, DataBase!A49, '1.3 FY2018'!F:F)</f>
        <v>0</v>
      </c>
      <c r="H49" s="31" t="s">
        <v>207</v>
      </c>
    </row>
    <row r="50" spans="1:8">
      <c r="A50" s="24" t="s">
        <v>104</v>
      </c>
      <c r="B50" t="str">
        <f>+VLOOKUP($A50, '1.1 FY2016'!$B$4:$G$61, 2, FALSE)</f>
        <v>Interest income</v>
      </c>
      <c r="C50" s="27">
        <f>+VLOOKUP($A50, '1.1 FY2016'!$B$4:$G$61, 3, FALSE)</f>
        <v>1240</v>
      </c>
      <c r="D50" t="str">
        <f>+VLOOKUP($A50, '1.1 FY2016'!$B$4:$G$61, 4, FALSE)</f>
        <v xml:space="preserve">Generco UK </v>
      </c>
      <c r="E50" s="30">
        <f>-SUMIF('1.1 FY2016'!$B:$B, DataBase!A50, '1.1 FY2016'!F:F)</f>
        <v>35810.228000000003</v>
      </c>
      <c r="F50" s="25">
        <f>-SUMIF('1.2 FY2017'!$B:$B, DataBase!A50, '1.2 FY2017'!F:F)</f>
        <v>34224.959999999999</v>
      </c>
      <c r="G50" s="30">
        <f>-SUMIF('1.3 FY2018'!$B:$B, DataBase!A50, '1.3 FY2018'!F:F)</f>
        <v>0</v>
      </c>
      <c r="H50" s="31" t="s">
        <v>207</v>
      </c>
    </row>
    <row r="51" spans="1:8">
      <c r="A51" s="24" t="s">
        <v>105</v>
      </c>
      <c r="B51" t="str">
        <f>+VLOOKUP($A51, '1.1 FY2016'!$B$4:$G$61, 2, FALSE)</f>
        <v>Interest income</v>
      </c>
      <c r="C51" s="27">
        <f>+VLOOKUP($A51, '1.1 FY2016'!$B$4:$G$61, 3, FALSE)</f>
        <v>111111</v>
      </c>
      <c r="D51" t="str">
        <f>+VLOOKUP($A51, '1.1 FY2016'!$B$4:$G$61, 4, FALSE)</f>
        <v>External</v>
      </c>
      <c r="E51" s="30">
        <f>-SUMIF('1.1 FY2016'!$B:$B, DataBase!A51, '1.1 FY2016'!F:F)</f>
        <v>51927.417999999998</v>
      </c>
      <c r="F51" s="25">
        <f>-SUMIF('1.2 FY2017'!$B:$B, DataBase!A51, '1.2 FY2017'!F:F)</f>
        <v>2204.7199999999998</v>
      </c>
      <c r="G51" s="30">
        <f>-SUMIF('1.3 FY2018'!$B:$B, DataBase!A51, '1.3 FY2018'!F:F)</f>
        <v>73809.511999999988</v>
      </c>
      <c r="H51" s="31" t="s">
        <v>207</v>
      </c>
    </row>
    <row r="52" spans="1:8">
      <c r="A52" s="24" t="s">
        <v>106</v>
      </c>
      <c r="B52" t="str">
        <f>+VLOOKUP($A52, '1.1 FY2016'!$B$4:$G$61, 2, FALSE)</f>
        <v>Capitalized interest</v>
      </c>
      <c r="C52" s="27">
        <f>+VLOOKUP($A52, '1.1 FY2016'!$B$4:$G$61, 3, FALSE)</f>
        <v>111101</v>
      </c>
      <c r="D52" t="str">
        <f>+VLOOKUP($A52, '1.1 FY2016'!$B$4:$G$61, 4, FALSE)</f>
        <v>Not assigned</v>
      </c>
      <c r="E52" s="30">
        <f>-SUMIF('1.1 FY2016'!$B:$B, DataBase!A52, '1.1 FY2016'!F:F)</f>
        <v>862270.63399999996</v>
      </c>
      <c r="F52" s="25">
        <f>-SUMIF('1.2 FY2017'!$B:$B, DataBase!A52, '1.2 FY2017'!F:F)</f>
        <v>0</v>
      </c>
      <c r="G52" s="30">
        <f>-SUMIF('1.3 FY2018'!$B:$B, DataBase!A52, '1.3 FY2018'!F:F)</f>
        <v>0</v>
      </c>
      <c r="H52" s="31" t="s">
        <v>18</v>
      </c>
    </row>
    <row r="53" spans="1:8">
      <c r="A53" s="24" t="s">
        <v>108</v>
      </c>
      <c r="B53" t="str">
        <f>+VLOOKUP($A53, '1.1 FY2016'!$B$4:$G$61, 2, FALSE)</f>
        <v>Non-recurring costs</v>
      </c>
      <c r="C53" s="27">
        <f>+VLOOKUP($A53, '1.1 FY2016'!$B$4:$G$61, 3, FALSE)</f>
        <v>111101</v>
      </c>
      <c r="D53" t="str">
        <f>+VLOOKUP($A53, '1.1 FY2016'!$B$4:$G$61, 4, FALSE)</f>
        <v>Not assigned</v>
      </c>
      <c r="E53" s="30">
        <f>-SUMIF('1.1 FY2016'!$B:$B, DataBase!A53, '1.1 FY2016'!F:F)</f>
        <v>-22763</v>
      </c>
      <c r="F53" s="25">
        <f>-SUMIF('1.2 FY2017'!$B:$B, DataBase!A53, '1.2 FY2017'!F:F)</f>
        <v>-80617.179999999993</v>
      </c>
      <c r="G53" s="30">
        <f>-SUMIF('1.3 FY2018'!$B:$B, DataBase!A53, '1.3 FY2018'!F:F)</f>
        <v>-7173.195999999999</v>
      </c>
      <c r="H53" s="31" t="s">
        <v>206</v>
      </c>
    </row>
    <row r="54" spans="1:8">
      <c r="A54" s="24" t="s">
        <v>110</v>
      </c>
      <c r="B54" t="str">
        <f>+VLOOKUP($A54, '1.1 FY2016'!$B$4:$G$61, 2, FALSE)</f>
        <v>Interest expenses</v>
      </c>
      <c r="C54" s="27">
        <f>+VLOOKUP($A54, '1.1 FY2016'!$B$4:$G$61, 3, FALSE)</f>
        <v>88</v>
      </c>
      <c r="D54" t="str">
        <f>+VLOOKUP($A54, '1.1 FY2016'!$B$4:$G$61, 4, FALSE)</f>
        <v>Generco Ltd</v>
      </c>
      <c r="E54" s="30">
        <f>-SUMIF('1.1 FY2016'!$B:$B, DataBase!A54, '1.1 FY2016'!F:F)</f>
        <v>-2930430.0120000001</v>
      </c>
      <c r="F54" s="25">
        <f>-SUMIF('1.2 FY2017'!$B:$B, DataBase!A54, '1.2 FY2017'!F:F)</f>
        <v>-2752704.22</v>
      </c>
      <c r="G54" s="30">
        <f>-SUMIF('1.3 FY2018'!$B:$B, DataBase!A54, '1.3 FY2018'!F:F)</f>
        <v>-2324465.8859999999</v>
      </c>
      <c r="H54" s="31" t="s">
        <v>207</v>
      </c>
    </row>
    <row r="55" spans="1:8">
      <c r="A55" s="24" t="s">
        <v>112</v>
      </c>
      <c r="B55" t="str">
        <f>+VLOOKUP($A55, '1.1 FY2016'!$B$4:$G$61, 2, FALSE)</f>
        <v>Current taxes</v>
      </c>
      <c r="C55" s="27">
        <f>+VLOOKUP($A55, '1.1 FY2016'!$B$4:$G$61, 3, FALSE)</f>
        <v>111101</v>
      </c>
      <c r="D55" t="str">
        <f>+VLOOKUP($A55, '1.1 FY2016'!$B$4:$G$61, 4, FALSE)</f>
        <v>Not assigned</v>
      </c>
      <c r="E55" s="30">
        <f>-SUMIF('1.1 FY2016'!$B:$B, DataBase!A55, '1.1 FY2016'!F:F)</f>
        <v>49378.641999999993</v>
      </c>
      <c r="F55" s="25">
        <f>-SUMIF('1.2 FY2017'!$B:$B, DataBase!A55, '1.2 FY2017'!F:F)</f>
        <v>-496748.70000000007</v>
      </c>
      <c r="G55" s="30">
        <f>-SUMIF('1.3 FY2018'!$B:$B, DataBase!A55, '1.3 FY2018'!F:F)</f>
        <v>-2558.1950000000002</v>
      </c>
      <c r="H55" s="31" t="s">
        <v>208</v>
      </c>
    </row>
    <row r="56" spans="1:8">
      <c r="A56" s="24" t="s">
        <v>114</v>
      </c>
      <c r="B56" t="str">
        <f>+VLOOKUP($A56, '1.1 FY2016'!$B$4:$G$61, 2, FALSE)</f>
        <v>Regional taxes</v>
      </c>
      <c r="C56" s="27">
        <f>+VLOOKUP($A56, '1.1 FY2016'!$B$4:$G$61, 3, FALSE)</f>
        <v>111101</v>
      </c>
      <c r="D56" t="str">
        <f>+VLOOKUP($A56, '1.1 FY2016'!$B$4:$G$61, 4, FALSE)</f>
        <v>Not assigned</v>
      </c>
      <c r="E56" s="30">
        <f>-SUMIF('1.1 FY2016'!$B:$B, DataBase!A56, '1.1 FY2016'!F:F)</f>
        <v>-516250.67</v>
      </c>
      <c r="F56" s="25">
        <f>-SUMIF('1.2 FY2017'!$B:$B, DataBase!A56, '1.2 FY2017'!F:F)</f>
        <v>-480872.96000000002</v>
      </c>
      <c r="G56" s="30">
        <f>-SUMIF('1.3 FY2018'!$B:$B, DataBase!A56, '1.3 FY2018'!F:F)</f>
        <v>-522710.353</v>
      </c>
      <c r="H56" s="31" t="s">
        <v>208</v>
      </c>
    </row>
    <row r="57" spans="1:8">
      <c r="A57" s="24" t="s">
        <v>116</v>
      </c>
      <c r="B57" t="str">
        <f>+VLOOKUP($A57, '1.1 FY2016'!$B$4:$G$61, 2, FALSE)</f>
        <v>Deferred taxes</v>
      </c>
      <c r="C57" s="27">
        <f>+VLOOKUP($A57, '1.1 FY2016'!$B$4:$G$61, 3, FALSE)</f>
        <v>111101</v>
      </c>
      <c r="D57" t="str">
        <f>+VLOOKUP($A57, '1.1 FY2016'!$B$4:$G$61, 4, FALSE)</f>
        <v>Not assigned</v>
      </c>
      <c r="E57" s="30">
        <f>-SUMIF('1.1 FY2016'!$B:$B, DataBase!A57, '1.1 FY2016'!F:F)</f>
        <v>-21593.093999999997</v>
      </c>
      <c r="F57" s="25">
        <f>-SUMIF('1.2 FY2017'!$B:$B, DataBase!A57, '1.2 FY2017'!F:F)</f>
        <v>-6570.3050000000003</v>
      </c>
      <c r="G57" s="30">
        <f>-SUMIF('1.3 FY2018'!$B:$B, DataBase!A57, '1.3 FY2018'!F:F)</f>
        <v>160303.52199999997</v>
      </c>
      <c r="H57" s="31" t="s">
        <v>208</v>
      </c>
    </row>
    <row r="58" spans="1:8">
      <c r="A58" s="24" t="s">
        <v>118</v>
      </c>
      <c r="B58" t="str">
        <f>+VLOOKUP($A58, '1.1 FY2016'!$B$4:$G$61, 2, FALSE)</f>
        <v>Net income/(loss)</v>
      </c>
      <c r="C58" s="27">
        <f>+VLOOKUP($A58, '1.1 FY2016'!$B$4:$G$61, 3, FALSE)</f>
        <v>111101</v>
      </c>
      <c r="D58" t="str">
        <f>+VLOOKUP($A58, '1.1 FY2016'!$B$4:$G$61, 4, FALSE)</f>
        <v>Not assigned</v>
      </c>
      <c r="E58" s="30">
        <f>-SUMIF('1.1 FY2016'!$B:$B, DataBase!A58, '1.1 FY2016'!F:F)</f>
        <v>2904117.9939999986</v>
      </c>
      <c r="F58" s="25">
        <f>-SUMIF('1.2 FY2017'!$B:$B, DataBase!A58, '1.2 FY2017'!F:F)</f>
        <v>0</v>
      </c>
      <c r="G58" s="30">
        <f>-SUMIF('1.3 FY2018'!$B:$B, DataBase!A58, '1.3 FY2018'!F:F)</f>
        <v>0</v>
      </c>
      <c r="H58" s="31" t="s">
        <v>209</v>
      </c>
    </row>
    <row r="59" spans="1:8">
      <c r="A59" s="24" t="s">
        <v>123</v>
      </c>
      <c r="B59" t="str">
        <f>+VLOOKUP($A59,'1.2 FY2017'!$B$4:$G$86, 2, FALSE)</f>
        <v>Core business revenues</v>
      </c>
      <c r="C59" s="27">
        <f>+VLOOKUP($A59,'1.2 FY2017'!$B$4:$G$86, 3, FALSE)</f>
        <v>105</v>
      </c>
      <c r="D59" t="str">
        <f>+VLOOKUP($A59,'1.2 FY2017'!$B$4:$G$86, 4, FALSE)</f>
        <v>Generco Healthcare Ltd</v>
      </c>
      <c r="E59" s="30">
        <f>-SUMIF('1.1 FY2016'!$B:$B, DataBase!A59, '1.1 FY2016'!F:F)</f>
        <v>0</v>
      </c>
      <c r="F59" s="25">
        <f>-SUMIF('1.2 FY2017'!$B:$B, DataBase!A59, '1.2 FY2017'!F:F)</f>
        <v>355396.61499999999</v>
      </c>
      <c r="G59" s="30">
        <f>-SUMIF('1.3 FY2018'!$B:$B, DataBase!A59, '1.3 FY2018'!F:F)</f>
        <v>616462.01899999997</v>
      </c>
      <c r="H59" s="31" t="s">
        <v>199</v>
      </c>
    </row>
    <row r="60" spans="1:8">
      <c r="A60" s="24" t="s">
        <v>124</v>
      </c>
      <c r="B60" t="str">
        <f>+VLOOKUP($A60, '1.2 FY2017'!$B$4:$G$86, 2, FALSE)</f>
        <v>Capitalized costs</v>
      </c>
      <c r="C60" s="27" t="str">
        <f>+VLOOKUP($A60,'1.2 FY2017'!$B$4:$G$86, 3, FALSE)</f>
        <v>1086</v>
      </c>
      <c r="D60" t="str">
        <f>+VLOOKUP($A60,'1.2 FY2017'!$B$4:$G$86, 4, FALSE)</f>
        <v>G&amp;Resources Ltd</v>
      </c>
      <c r="E60" s="30">
        <f>-SUMIF('1.1 FY2016'!$B:$B, DataBase!A60, '1.1 FY2016'!F:F)</f>
        <v>0</v>
      </c>
      <c r="F60" s="25">
        <f>-SUMIF('1.2 FY2017'!$B:$B, DataBase!A60, '1.2 FY2017'!F:F)</f>
        <v>420017.14999999997</v>
      </c>
      <c r="G60" s="30">
        <f>-SUMIF('1.3 FY2018'!$B:$B, DataBase!A60, '1.3 FY2018'!F:F)</f>
        <v>0</v>
      </c>
      <c r="H60" s="31" t="s">
        <v>18</v>
      </c>
    </row>
    <row r="61" spans="1:8">
      <c r="A61" s="24" t="s">
        <v>127</v>
      </c>
      <c r="B61" t="str">
        <f>+VLOOKUP(A61, '1.2 FY2017'!$B$4:$G$86, 2, FALSE)</f>
        <v>Utility charges</v>
      </c>
      <c r="C61" s="27">
        <f>+VLOOKUP($A61,'1.2 FY2017'!$B$4:$G$86, 3, FALSE)</f>
        <v>111111</v>
      </c>
      <c r="D61" t="str">
        <f>+VLOOKUP($A61,'1.2 FY2017'!$B$4:$G$86, 4, FALSE)</f>
        <v>External</v>
      </c>
      <c r="E61" s="30">
        <f>-SUMIF('1.1 FY2016'!$B:$B, DataBase!A61, '1.1 FY2016'!F:F)</f>
        <v>0</v>
      </c>
      <c r="F61" s="25">
        <f>-SUMIF('1.2 FY2017'!$B:$B, DataBase!A61, '1.2 FY2017'!F:F)</f>
        <v>-14589.33</v>
      </c>
      <c r="G61" s="30">
        <f>-SUMIF('1.3 FY2018'!$B:$B, DataBase!A61, '1.3 FY2018'!F:F)</f>
        <v>-20504.509999999998</v>
      </c>
      <c r="H61" s="31" t="s">
        <v>201</v>
      </c>
    </row>
    <row r="62" spans="1:8">
      <c r="A62" s="24" t="s">
        <v>129</v>
      </c>
      <c r="B62" t="str">
        <f>+VLOOKUP(A62, '1.2 FY2017'!$B$4:$G$86, 2, FALSE)</f>
        <v>R&amp;D expenses</v>
      </c>
      <c r="C62" s="27">
        <f>+VLOOKUP($A62,'1.2 FY2017'!$B$4:$G$86, 3, FALSE)</f>
        <v>19</v>
      </c>
      <c r="D62" t="str">
        <f>+VLOOKUP($A62,'1.2 FY2017'!$B$4:$G$86, 4, FALSE)</f>
        <v>Generco Cosmetics Ltd</v>
      </c>
      <c r="E62" s="30">
        <f>-SUMIF('1.1 FY2016'!$B:$B, DataBase!A62, '1.1 FY2016'!F:F)</f>
        <v>0</v>
      </c>
      <c r="F62" s="25">
        <f>-SUMIF('1.2 FY2017'!$B:$B, DataBase!A62, '1.2 FY2017'!F:F)</f>
        <v>-38521</v>
      </c>
      <c r="G62" s="30">
        <f>-SUMIF('1.3 FY2018'!$B:$B, DataBase!A62, '1.3 FY2018'!F:F)</f>
        <v>0</v>
      </c>
      <c r="H62" s="31" t="s">
        <v>201</v>
      </c>
    </row>
    <row r="63" spans="1:8">
      <c r="A63" s="24" t="s">
        <v>130</v>
      </c>
      <c r="B63" t="str">
        <f>+VLOOKUP(A63, '1.2 FY2017'!$B$4:$G$86, 2, FALSE)</f>
        <v>R&amp;D expenses</v>
      </c>
      <c r="C63" s="27" t="str">
        <f>+VLOOKUP($A63,'1.2 FY2017'!$B$4:$G$86, 3, FALSE)</f>
        <v>1283</v>
      </c>
      <c r="D63" t="str">
        <f>+VLOOKUP($A63,'1.2 FY2017'!$B$4:$G$86, 4, FALSE)</f>
        <v>Generco Ventures Ltd</v>
      </c>
      <c r="E63" s="30">
        <f>-SUMIF('1.1 FY2016'!$B:$B, DataBase!A63, '1.1 FY2016'!F:F)</f>
        <v>0</v>
      </c>
      <c r="F63" s="25">
        <f>-SUMIF('1.2 FY2017'!$B:$B, DataBase!A63, '1.2 FY2017'!F:F)</f>
        <v>-1820</v>
      </c>
      <c r="G63" s="30">
        <f>-SUMIF('1.3 FY2018'!$B:$B, DataBase!A63, '1.3 FY2018'!F:F)</f>
        <v>0</v>
      </c>
      <c r="H63" s="31" t="s">
        <v>201</v>
      </c>
    </row>
    <row r="64" spans="1:8">
      <c r="A64" s="24" t="s">
        <v>133</v>
      </c>
      <c r="B64" t="str">
        <f>+VLOOKUP(A64, '1.2 FY2017'!$B$4:$G$86, 2, FALSE)</f>
        <v>R&amp;D expenses</v>
      </c>
      <c r="C64" s="27" t="str">
        <f>+VLOOKUP($A64,'1.2 FY2017'!$B$4:$G$86, 3, FALSE)</f>
        <v>1924</v>
      </c>
      <c r="D64" t="str">
        <f>+VLOOKUP($A64,'1.2 FY2017'!$B$4:$G$86, 4, FALSE)</f>
        <v>Generco Infrastructure Ltd</v>
      </c>
      <c r="E64" s="30">
        <f>-SUMIF('1.1 FY2016'!$B:$B, DataBase!A64, '1.1 FY2016'!F:F)</f>
        <v>0</v>
      </c>
      <c r="F64" s="25">
        <f>-SUMIF('1.2 FY2017'!$B:$B, DataBase!A64, '1.2 FY2017'!F:F)</f>
        <v>-10448.129999999999</v>
      </c>
      <c r="G64" s="30">
        <f>-SUMIF('1.3 FY2018'!$B:$B, DataBase!A64, '1.3 FY2018'!F:F)</f>
        <v>-673.34299999999985</v>
      </c>
      <c r="H64" s="31" t="s">
        <v>201</v>
      </c>
    </row>
    <row r="65" spans="1:8">
      <c r="A65" s="24" t="s">
        <v>136</v>
      </c>
      <c r="B65" t="str">
        <f>+VLOOKUP(A65, '1.2 FY2017'!$B$4:$G$86, 2, FALSE)</f>
        <v>R&amp;D expenses</v>
      </c>
      <c r="C65" s="27" t="str">
        <f>+VLOOKUP($A65,'1.2 FY2017'!$B$4:$G$86, 3, FALSE)</f>
        <v>2486</v>
      </c>
      <c r="D65" t="str">
        <f>+VLOOKUP($A65,'1.2 FY2017'!$B$4:$G$86, 4, FALSE)</f>
        <v>Generco Exloration Ltd</v>
      </c>
      <c r="E65" s="30">
        <f>-SUMIF('1.1 FY2016'!$B:$B, DataBase!A65, '1.1 FY2016'!F:F)</f>
        <v>0</v>
      </c>
      <c r="F65" s="25">
        <f>-SUMIF('1.2 FY2017'!$B:$B, DataBase!A65, '1.2 FY2017'!F:F)</f>
        <v>-10412.5</v>
      </c>
      <c r="G65" s="30">
        <f>-SUMIF('1.3 FY2018'!$B:$B, DataBase!A65, '1.3 FY2018'!F:F)</f>
        <v>0</v>
      </c>
      <c r="H65" s="31" t="s">
        <v>201</v>
      </c>
    </row>
    <row r="66" spans="1:8">
      <c r="A66" s="24" t="s">
        <v>140</v>
      </c>
      <c r="B66" t="str">
        <f>+VLOOKUP(A66, '1.2 FY2017'!$B$4:$G$86, 2, FALSE)</f>
        <v>Other personnel expenses</v>
      </c>
      <c r="C66" s="27">
        <f>+VLOOKUP($A66,'1.2 FY2017'!$B$4:$G$86, 3, FALSE)</f>
        <v>111101</v>
      </c>
      <c r="D66" t="str">
        <f>+VLOOKUP($A66,'1.2 FY2017'!$B$4:$G$86, 4, FALSE)</f>
        <v>Not assigned</v>
      </c>
      <c r="E66" s="30">
        <f>-SUMIF('1.1 FY2016'!$B:$B, DataBase!A66, '1.1 FY2016'!F:F)</f>
        <v>0</v>
      </c>
      <c r="F66" s="25">
        <f>-SUMIF('1.2 FY2017'!$B:$B, DataBase!A66, '1.2 FY2017'!F:F)</f>
        <v>-6919.8499999999995</v>
      </c>
      <c r="G66" s="30">
        <f>-SUMIF('1.3 FY2018'!$B:$B, DataBase!A66, '1.3 FY2018'!F:F)</f>
        <v>0</v>
      </c>
      <c r="H66" s="31" t="s">
        <v>202</v>
      </c>
    </row>
    <row r="67" spans="1:8">
      <c r="A67" s="24" t="s">
        <v>142</v>
      </c>
      <c r="B67" t="str">
        <f>+VLOOKUP(A67, '1.2 FY2017'!$B$4:$G$86, 2, FALSE)</f>
        <v>D&amp;A</v>
      </c>
      <c r="C67" s="27">
        <f>+VLOOKUP($A67,'1.2 FY2017'!$B$4:$G$86, 3, FALSE)</f>
        <v>111101</v>
      </c>
      <c r="D67" t="str">
        <f>+VLOOKUP($A67,'1.2 FY2017'!$B$4:$G$86, 4, FALSE)</f>
        <v>Not assigned</v>
      </c>
      <c r="E67" s="30">
        <f>-SUMIF('1.1 FY2016'!$B:$B, DataBase!A67, '1.1 FY2016'!F:F)</f>
        <v>0</v>
      </c>
      <c r="F67" s="25">
        <f>-SUMIF('1.2 FY2017'!$B:$B, DataBase!A67, '1.2 FY2017'!F:F)</f>
        <v>-146328.94499999998</v>
      </c>
      <c r="G67" s="30">
        <f>-SUMIF('1.3 FY2018'!$B:$B, DataBase!A67, '1.3 FY2018'!F:F)</f>
        <v>-12593.355</v>
      </c>
      <c r="H67" s="31" t="s">
        <v>42</v>
      </c>
    </row>
    <row r="68" spans="1:8">
      <c r="A68" s="24" t="s">
        <v>143</v>
      </c>
      <c r="B68" t="str">
        <f>+VLOOKUP(A68, '1.2 FY2017'!$B$4:$G$86, 2, FALSE)</f>
        <v>Gains from disposal of PP&amp;E</v>
      </c>
      <c r="C68" s="27">
        <f>+VLOOKUP($A68,'1.2 FY2017'!$B$4:$G$86, 3, FALSE)</f>
        <v>111111</v>
      </c>
      <c r="D68" t="str">
        <f>+VLOOKUP($A68,'1.2 FY2017'!$B$4:$G$86, 4, FALSE)</f>
        <v>External</v>
      </c>
      <c r="E68" s="30">
        <f>-SUMIF('1.1 FY2016'!$B:$B, DataBase!A68, '1.1 FY2016'!F:F)</f>
        <v>0</v>
      </c>
      <c r="F68" s="25">
        <f>-SUMIF('1.2 FY2017'!$B:$B, DataBase!A68, '1.2 FY2017'!F:F)</f>
        <v>121553.07499999998</v>
      </c>
      <c r="G68" s="30">
        <f>-SUMIF('1.3 FY2018'!$B:$B, DataBase!A68, '1.3 FY2018'!F:F)</f>
        <v>0</v>
      </c>
      <c r="H68" s="31" t="s">
        <v>206</v>
      </c>
    </row>
    <row r="69" spans="1:8">
      <c r="A69" s="24" t="s">
        <v>145</v>
      </c>
      <c r="B69" t="str">
        <f>+VLOOKUP(A69, '1.2 FY2017'!$B$4:$G$86, 2, FALSE)</f>
        <v>Corporate recharges</v>
      </c>
      <c r="C69" s="27">
        <f>+VLOOKUP($A69,'1.2 FY2017'!$B$4:$G$86, 3, FALSE)</f>
        <v>19</v>
      </c>
      <c r="D69" t="str">
        <f>+VLOOKUP($A69,'1.2 FY2017'!$B$4:$G$86, 4, FALSE)</f>
        <v>Generco Cosmetics Ltd</v>
      </c>
      <c r="E69" s="30">
        <f>-SUMIF('1.1 FY2016'!$B:$B, DataBase!A69, '1.1 FY2016'!F:F)</f>
        <v>0</v>
      </c>
      <c r="F69" s="25">
        <f>-SUMIF('1.2 FY2017'!$B:$B, DataBase!A69, '1.2 FY2017'!F:F)</f>
        <v>416278.66</v>
      </c>
      <c r="G69" s="30">
        <f>-SUMIF('1.3 FY2018'!$B:$B, DataBase!A69, '1.3 FY2018'!F:F)</f>
        <v>622966.38600000006</v>
      </c>
      <c r="H69" s="31" t="s">
        <v>203</v>
      </c>
    </row>
    <row r="70" spans="1:8">
      <c r="A70" s="24" t="s">
        <v>146</v>
      </c>
      <c r="B70" t="str">
        <f>+VLOOKUP(A70, '1.2 FY2017'!$B$4:$G$86, 2, FALSE)</f>
        <v>Corporate recharges</v>
      </c>
      <c r="C70" s="27" t="str">
        <f>+VLOOKUP($A70,'1.2 FY2017'!$B$4:$G$86, 3, FALSE)</f>
        <v>1076</v>
      </c>
      <c r="D70" t="str">
        <f>+VLOOKUP($A70,'1.2 FY2017'!$B$4:$G$86, 4, FALSE)</f>
        <v>Generco Trading Ltd</v>
      </c>
      <c r="E70" s="30">
        <f>-SUMIF('1.1 FY2016'!$B:$B, DataBase!A70, '1.1 FY2016'!F:F)</f>
        <v>0</v>
      </c>
      <c r="F70" s="25">
        <f>-SUMIF('1.2 FY2017'!$B:$B, DataBase!A70, '1.2 FY2017'!F:F)</f>
        <v>364243.84499999997</v>
      </c>
      <c r="G70" s="30">
        <f>-SUMIF('1.3 FY2018'!$B:$B, DataBase!A70, '1.3 FY2018'!F:F)</f>
        <v>0</v>
      </c>
      <c r="H70" s="31" t="s">
        <v>203</v>
      </c>
    </row>
    <row r="71" spans="1:8">
      <c r="A71" s="24" t="s">
        <v>149</v>
      </c>
      <c r="B71" t="str">
        <f>+VLOOKUP(A71, '1.2 FY2017'!$B$4:$G$86, 2, FALSE)</f>
        <v>Corporate recharges</v>
      </c>
      <c r="C71" s="27" t="str">
        <f>+VLOOKUP($A71,'1.2 FY2017'!$B$4:$G$86, 3, FALSE)</f>
        <v>1086</v>
      </c>
      <c r="D71" t="str">
        <f>+VLOOKUP($A71,'1.2 FY2017'!$B$4:$G$86, 4, FALSE)</f>
        <v>G&amp;Resources Ltd</v>
      </c>
      <c r="E71" s="30">
        <f>-SUMIF('1.1 FY2016'!$B:$B, DataBase!A71, '1.1 FY2016'!F:F)</f>
        <v>0</v>
      </c>
      <c r="F71" s="25">
        <f>-SUMIF('1.2 FY2017'!$B:$B, DataBase!A71, '1.2 FY2017'!F:F)</f>
        <v>0</v>
      </c>
      <c r="G71" s="30">
        <f>-SUMIF('1.3 FY2018'!$B:$B, DataBase!A71, '1.3 FY2018'!F:F)</f>
        <v>0</v>
      </c>
      <c r="H71" s="31" t="s">
        <v>203</v>
      </c>
    </row>
    <row r="72" spans="1:8">
      <c r="A72" s="24" t="s">
        <v>151</v>
      </c>
      <c r="B72" t="str">
        <f>+VLOOKUP(A72, '1.2 FY2017'!$B$4:$G$86, 2, FALSE)</f>
        <v>Corporate recharges</v>
      </c>
      <c r="C72" s="27" t="str">
        <f>+VLOOKUP($A72,'1.2 FY2017'!$B$4:$G$86, 3, FALSE)</f>
        <v>47037</v>
      </c>
      <c r="D72" t="str">
        <f>+VLOOKUP($A72,'1.2 FY2017'!$B$4:$G$86, 4, FALSE)</f>
        <v>G&amp;CR Global Ltd</v>
      </c>
      <c r="E72" s="30">
        <f>-SUMIF('1.1 FY2016'!$B:$B, DataBase!A72, '1.1 FY2016'!F:F)</f>
        <v>0</v>
      </c>
      <c r="F72" s="25">
        <f>-SUMIF('1.2 FY2017'!$B:$B, DataBase!A72, '1.2 FY2017'!F:F)</f>
        <v>482611.04499999998</v>
      </c>
      <c r="G72" s="30">
        <f>-SUMIF('1.3 FY2018'!$B:$B, DataBase!A72, '1.3 FY2018'!F:F)</f>
        <v>1948832.1429999999</v>
      </c>
      <c r="H72" s="31" t="s">
        <v>203</v>
      </c>
    </row>
    <row r="73" spans="1:8">
      <c r="A73" t="s">
        <v>154</v>
      </c>
      <c r="B73" t="str">
        <f>+VLOOKUP(A73, '1.2 FY2017'!$B$4:$G$86, 2, FALSE)</f>
        <v>Other income</v>
      </c>
      <c r="C73" s="27">
        <f>+VLOOKUP($A73,'1.2 FY2017'!$B$4:$G$86, 3, FALSE)</f>
        <v>88</v>
      </c>
      <c r="D73" t="str">
        <f>+VLOOKUP($A73,'1.2 FY2017'!$B$4:$G$86, 4, FALSE)</f>
        <v>Generco Ltd</v>
      </c>
      <c r="E73" s="30">
        <f>-SUMIF('1.1 FY2016'!$B:$B, DataBase!A73, '1.1 FY2016'!F:F)</f>
        <v>0</v>
      </c>
      <c r="F73" s="25">
        <f>-SUMIF('1.2 FY2017'!$B:$B, DataBase!A73, '1.2 FY2017'!F:F)</f>
        <v>2436.35</v>
      </c>
      <c r="G73" s="30">
        <f>-SUMIF('1.3 FY2018'!$B:$B, DataBase!A73, '1.3 FY2018'!F:F)</f>
        <v>0</v>
      </c>
      <c r="H73" s="31" t="s">
        <v>62</v>
      </c>
    </row>
    <row r="74" spans="1:8">
      <c r="A74" t="s">
        <v>155</v>
      </c>
      <c r="B74" t="str">
        <f>+VLOOKUP(A74, '1.2 FY2017'!$B$4:$G$86, 2, FALSE)</f>
        <v>Concession fees other</v>
      </c>
      <c r="C74" s="27">
        <f>+VLOOKUP($A74,'1.2 FY2017'!$B$4:$G$86, 3, FALSE)</f>
        <v>111101</v>
      </c>
      <c r="D74" t="str">
        <f>+VLOOKUP($A74,'1.2 FY2017'!$B$4:$G$86, 4, FALSE)</f>
        <v>Not assigned</v>
      </c>
      <c r="E74" s="30">
        <f>-SUMIF('1.1 FY2016'!$B:$B, DataBase!A74, '1.1 FY2016'!F:F)</f>
        <v>0</v>
      </c>
      <c r="F74" s="25">
        <f>-SUMIF('1.2 FY2017'!$B:$B, DataBase!A74, '1.2 FY2017'!F:F)</f>
        <v>-81.339999999999989</v>
      </c>
      <c r="G74" s="30">
        <f>-SUMIF('1.3 FY2018'!$B:$B, DataBase!A74, '1.3 FY2018'!F:F)</f>
        <v>0</v>
      </c>
      <c r="H74" s="31" t="s">
        <v>201</v>
      </c>
    </row>
    <row r="75" spans="1:8">
      <c r="A75" t="s">
        <v>157</v>
      </c>
      <c r="B75" t="str">
        <f>+VLOOKUP(A75, '1.2 FY2017'!$B$4:$G$86, 2, FALSE)</f>
        <v>Service expenses</v>
      </c>
      <c r="C75" s="27">
        <f>+VLOOKUP($A75,'1.2 FY2017'!$B$4:$G$86, 3, FALSE)</f>
        <v>105</v>
      </c>
      <c r="D75" t="str">
        <f>+VLOOKUP($A75,'1.2 FY2017'!$B$4:$G$86, 4, FALSE)</f>
        <v>Generco Healthcare Ltd</v>
      </c>
      <c r="E75" s="30">
        <f>-SUMIF('1.1 FY2016'!$B:$B, DataBase!A75, '1.1 FY2016'!F:F)</f>
        <v>0</v>
      </c>
      <c r="F75" s="25">
        <f>-SUMIF('1.2 FY2017'!$B:$B, DataBase!A75, '1.2 FY2017'!F:F)</f>
        <v>-276920</v>
      </c>
      <c r="G75" s="30">
        <f>-SUMIF('1.3 FY2018'!$B:$B, DataBase!A75, '1.3 FY2018'!F:F)</f>
        <v>-473575.46100000001</v>
      </c>
      <c r="H75" s="31" t="s">
        <v>204</v>
      </c>
    </row>
    <row r="76" spans="1:8">
      <c r="A76" t="s">
        <v>158</v>
      </c>
      <c r="B76" t="str">
        <f>+VLOOKUP(A76, '1.2 FY2017'!$B$4:$G$86, 2, FALSE)</f>
        <v>Insurance expenses</v>
      </c>
      <c r="C76" s="27">
        <f>+VLOOKUP($A76,'1.2 FY2017'!$B$4:$G$86, 3, FALSE)</f>
        <v>1900</v>
      </c>
      <c r="D76" t="str">
        <f>+VLOOKUP($A76,'1.2 FY2017'!$B$4:$G$86, 4, FALSE)</f>
        <v>Generco Metals Gm</v>
      </c>
      <c r="E76" s="30">
        <f>-SUMIF('1.1 FY2016'!$B:$B, DataBase!A76, '1.1 FY2016'!F:F)</f>
        <v>0</v>
      </c>
      <c r="F76" s="25">
        <f>-SUMIF('1.2 FY2017'!$B:$B, DataBase!A76, '1.2 FY2017'!F:F)</f>
        <v>0</v>
      </c>
      <c r="G76" s="30">
        <f>-SUMIF('1.3 FY2018'!$B:$B, DataBase!A76, '1.3 FY2018'!F:F)</f>
        <v>0</v>
      </c>
      <c r="H76" s="32" t="s">
        <v>205</v>
      </c>
    </row>
    <row r="77" spans="1:8">
      <c r="A77" t="s">
        <v>160</v>
      </c>
      <c r="B77" t="str">
        <f>+VLOOKUP(A77, '1.2 FY2017'!$B$4:$G$86, 2, FALSE)</f>
        <v>Travel expenses</v>
      </c>
      <c r="C77" s="27" t="str">
        <f>+VLOOKUP($A77,'1.2 FY2017'!$B$4:$G$86, 3, FALSE)</f>
        <v>1118</v>
      </c>
      <c r="D77" t="str">
        <f>+VLOOKUP($A77,'1.2 FY2017'!$B$4:$G$86, 4, FALSE)</f>
        <v>Gener Green LLC</v>
      </c>
      <c r="E77" s="30">
        <f>-SUMIF('1.1 FY2016'!$B:$B, DataBase!A77, '1.1 FY2016'!F:F)</f>
        <v>0</v>
      </c>
      <c r="F77" s="25">
        <f>-SUMIF('1.2 FY2017'!$B:$B, DataBase!A77, '1.2 FY2017'!F:F)</f>
        <v>-23928.799999999999</v>
      </c>
      <c r="G77" s="30">
        <f>-SUMIF('1.3 FY2018'!$B:$B, DataBase!A77, '1.3 FY2018'!F:F)</f>
        <v>0</v>
      </c>
      <c r="H77" s="31" t="s">
        <v>201</v>
      </c>
    </row>
    <row r="78" spans="1:8">
      <c r="A78" t="s">
        <v>163</v>
      </c>
      <c r="B78" t="str">
        <f>+VLOOKUP(A78, '1.2 FY2017'!$B$4:$G$86, 2, FALSE)</f>
        <v>Losses fr disposal of PPE</v>
      </c>
      <c r="C78" s="27">
        <f>+VLOOKUP($A78,'1.2 FY2017'!$B$4:$G$86, 3, FALSE)</f>
        <v>111111</v>
      </c>
      <c r="D78" t="str">
        <f>+VLOOKUP($A78,'1.2 FY2017'!$B$4:$G$86, 4, FALSE)</f>
        <v>External</v>
      </c>
      <c r="E78" s="30">
        <f>-SUMIF('1.1 FY2016'!$B:$B, DataBase!A78, '1.1 FY2016'!F:F)</f>
        <v>0</v>
      </c>
      <c r="F78" s="25">
        <f>-SUMIF('1.2 FY2017'!$B:$B, DataBase!A78, '1.2 FY2017'!F:F)</f>
        <v>-308232</v>
      </c>
      <c r="G78" s="30">
        <f>-SUMIF('1.3 FY2018'!$B:$B, DataBase!A78, '1.3 FY2018'!F:F)</f>
        <v>0</v>
      </c>
      <c r="H78" s="31" t="s">
        <v>206</v>
      </c>
    </row>
    <row r="79" spans="1:8">
      <c r="A79" t="s">
        <v>165</v>
      </c>
      <c r="B79" t="str">
        <f>+VLOOKUP(A79, '1.2 FY2017'!$B$4:$G$86, 2, FALSE)</f>
        <v>Other operative currency differences</v>
      </c>
      <c r="C79" s="27">
        <f>+VLOOKUP($A79,'1.2 FY2017'!$B$4:$G$86, 3, FALSE)</f>
        <v>19</v>
      </c>
      <c r="D79" t="str">
        <f>+VLOOKUP($A79,'1.2 FY2017'!$B$4:$G$86, 4, FALSE)</f>
        <v>Generco Cosmetics Ltd</v>
      </c>
      <c r="E79" s="30">
        <f>-SUMIF('1.1 FY2016'!$B:$B, DataBase!A79, '1.1 FY2016'!F:F)</f>
        <v>0</v>
      </c>
      <c r="F79" s="25">
        <f>-SUMIF('1.2 FY2017'!$B:$B, DataBase!A79, '1.2 FY2017'!F:F)</f>
        <v>-13422.779999999999</v>
      </c>
      <c r="G79" s="30">
        <f>-SUMIF('1.3 FY2018'!$B:$B, DataBase!A79, '1.3 FY2018'!F:F)</f>
        <v>0</v>
      </c>
      <c r="H79" s="31" t="s">
        <v>201</v>
      </c>
    </row>
    <row r="80" spans="1:8">
      <c r="A80" t="s">
        <v>167</v>
      </c>
      <c r="B80" t="str">
        <f>+VLOOKUP(A80, '1.2 FY2017'!$B$4:$G$86, 2, FALSE)</f>
        <v>Other operative currency differences</v>
      </c>
      <c r="C80" s="27">
        <f>+VLOOKUP($A80,'1.2 FY2017'!$B$4:$G$86, 3, FALSE)</f>
        <v>111111</v>
      </c>
      <c r="D80" t="str">
        <f>+VLOOKUP($A80,'1.2 FY2017'!$B$4:$G$86, 4, FALSE)</f>
        <v>External</v>
      </c>
      <c r="E80" s="30">
        <f>-SUMIF('1.1 FY2016'!$B:$B, DataBase!A80, '1.1 FY2016'!F:F)</f>
        <v>0</v>
      </c>
      <c r="F80" s="25">
        <f>-SUMIF('1.2 FY2017'!$B:$B, DataBase!A80, '1.2 FY2017'!F:F)</f>
        <v>-4045.6150000000002</v>
      </c>
      <c r="G80" s="30">
        <f>-SUMIF('1.3 FY2018'!$B:$B, DataBase!A80, '1.3 FY2018'!F:F)</f>
        <v>0</v>
      </c>
      <c r="H80" s="31" t="s">
        <v>201</v>
      </c>
    </row>
    <row r="81" spans="1:8">
      <c r="A81" t="s">
        <v>168</v>
      </c>
      <c r="B81" t="str">
        <f>+VLOOKUP(A81, '1.2 FY2017'!$B$4:$G$86, 2, FALSE)</f>
        <v>Property tax</v>
      </c>
      <c r="C81" s="27">
        <f>+VLOOKUP($A81,'1.2 FY2017'!$B$4:$G$86, 3, FALSE)</f>
        <v>111111</v>
      </c>
      <c r="D81" t="str">
        <f>+VLOOKUP($A81,'1.2 FY2017'!$B$4:$G$86, 4, FALSE)</f>
        <v>External</v>
      </c>
      <c r="E81" s="30">
        <f>-SUMIF('1.1 FY2016'!$B:$B, DataBase!A81, '1.1 FY2016'!F:F)</f>
        <v>0</v>
      </c>
      <c r="F81" s="25">
        <f>-SUMIF('1.2 FY2017'!$B:$B, DataBase!A81, '1.2 FY2017'!F:F)</f>
        <v>-49621.144999999997</v>
      </c>
      <c r="G81" s="30">
        <f>-SUMIF('1.3 FY2018'!$B:$B, DataBase!A81, '1.3 FY2018'!F:F)</f>
        <v>0</v>
      </c>
      <c r="H81" s="31" t="s">
        <v>201</v>
      </c>
    </row>
    <row r="82" spans="1:8">
      <c r="A82" t="s">
        <v>170</v>
      </c>
      <c r="B82" t="str">
        <f>+VLOOKUP(A82, '1.2 FY2017'!$B$4:$G$86, 2, FALSE)</f>
        <v>Misc extraordinary expenses</v>
      </c>
      <c r="C82" s="27">
        <f>+VLOOKUP($A82,'1.2 FY2017'!$B$4:$G$86, 3, FALSE)</f>
        <v>19</v>
      </c>
      <c r="D82" t="str">
        <f>+VLOOKUP($A82,'1.2 FY2017'!$B$4:$G$86, 4, FALSE)</f>
        <v>Generco Cosmetics Ltd</v>
      </c>
      <c r="E82" s="30">
        <f>-SUMIF('1.1 FY2016'!$B:$B, DataBase!A82, '1.1 FY2016'!F:F)</f>
        <v>0</v>
      </c>
      <c r="F82" s="25">
        <f>-SUMIF('1.2 FY2017'!$B:$B, DataBase!A82, '1.2 FY2017'!F:F)</f>
        <v>-85462.684999999998</v>
      </c>
      <c r="G82" s="30">
        <f>-SUMIF('1.3 FY2018'!$B:$B, DataBase!A82, '1.3 FY2018'!F:F)</f>
        <v>0</v>
      </c>
      <c r="H82" s="31" t="s">
        <v>206</v>
      </c>
    </row>
    <row r="83" spans="1:8">
      <c r="A83" t="s">
        <v>171</v>
      </c>
      <c r="B83" t="str">
        <f>+VLOOKUP(A83, '1.2 FY2017'!$B$4:$G$86, 2, FALSE)</f>
        <v>Misc extraordinary expenses</v>
      </c>
      <c r="C83" s="27" t="str">
        <f>+VLOOKUP($A83,'1.2 FY2017'!$B$4:$G$86, 3, FALSE)</f>
        <v>43</v>
      </c>
      <c r="D83" t="str">
        <f>+VLOOKUP($A83,'1.2 FY2017'!$B$4:$G$86, 4, FALSE)</f>
        <v>Greeny France SL</v>
      </c>
      <c r="E83" s="30">
        <f>-SUMIF('1.1 FY2016'!$B:$B, DataBase!A83, '1.1 FY2016'!F:F)</f>
        <v>0</v>
      </c>
      <c r="F83" s="25">
        <f>-SUMIF('1.2 FY2017'!$B:$B, DataBase!A83, '1.2 FY2017'!F:F)</f>
        <v>-11422.144999999999</v>
      </c>
      <c r="G83" s="30">
        <f>-SUMIF('1.3 FY2018'!$B:$B, DataBase!A83, '1.3 FY2018'!F:F)</f>
        <v>0</v>
      </c>
      <c r="H83" s="31" t="s">
        <v>206</v>
      </c>
    </row>
    <row r="84" spans="1:8">
      <c r="A84" t="s">
        <v>172</v>
      </c>
      <c r="B84" t="str">
        <f>+VLOOKUP(A84, '1.2 FY2017'!$B$4:$G$86, 2, FALSE)</f>
        <v>Misc extraordinary expenses</v>
      </c>
      <c r="C84" s="27" t="str">
        <f>+VLOOKUP($A84,'1.2 FY2017'!$B$4:$G$86, 3, FALSE)</f>
        <v>1924</v>
      </c>
      <c r="D84" t="str">
        <f>+VLOOKUP($A84,'1.2 FY2017'!$B$4:$G$86, 4, FALSE)</f>
        <v>Generco Infrastructure Ltd</v>
      </c>
      <c r="E84" s="30">
        <f>-SUMIF('1.1 FY2016'!$B:$B, DataBase!A84, '1.1 FY2016'!F:F)</f>
        <v>0</v>
      </c>
      <c r="F84" s="25">
        <f>-SUMIF('1.2 FY2017'!$B:$B, DataBase!A84, '1.2 FY2017'!F:F)</f>
        <v>-84438.864999999991</v>
      </c>
      <c r="G84" s="30">
        <f>-SUMIF('1.3 FY2018'!$B:$B, DataBase!A84, '1.3 FY2018'!F:F)</f>
        <v>0</v>
      </c>
      <c r="H84" s="31" t="s">
        <v>206</v>
      </c>
    </row>
    <row r="85" spans="1:8">
      <c r="A85" t="s">
        <v>173</v>
      </c>
      <c r="B85" t="str">
        <f>+VLOOKUP(A85, '1.2 FY2017'!$B$4:$G$86, 2, FALSE)</f>
        <v>Difference from eliminations</v>
      </c>
      <c r="C85" s="27" t="str">
        <f>+VLOOKUP($A85,'1.2 FY2017'!$B$4:$G$86, 3, FALSE)</f>
        <v>1086</v>
      </c>
      <c r="D85" t="str">
        <f>+VLOOKUP($A85,'1.2 FY2017'!$B$4:$G$86, 4, FALSE)</f>
        <v>G&amp;Resources Ltd</v>
      </c>
      <c r="E85" s="30">
        <f>-SUMIF('1.1 FY2016'!$B:$B, DataBase!A85, '1.1 FY2016'!F:F)</f>
        <v>0</v>
      </c>
      <c r="F85" s="25">
        <f>-SUMIF('1.2 FY2017'!$B:$B, DataBase!A85, '1.2 FY2017'!F:F)</f>
        <v>0</v>
      </c>
      <c r="G85" s="30">
        <f>-SUMIF('1.3 FY2018'!$B:$B, DataBase!A85, '1.3 FY2018'!F:F)</f>
        <v>0</v>
      </c>
      <c r="H85" s="32" t="s">
        <v>205</v>
      </c>
    </row>
    <row r="86" spans="1:8">
      <c r="A86" t="s">
        <v>174</v>
      </c>
      <c r="B86" t="str">
        <f>+VLOOKUP(A86, '1.2 FY2017'!$B$4:$G$86, 2, FALSE)</f>
        <v>Interest income</v>
      </c>
      <c r="C86" s="27" t="str">
        <f>+VLOOKUP($A86,'1.2 FY2017'!$B$4:$G$86, 3, FALSE)</f>
        <v>1086</v>
      </c>
      <c r="D86" t="str">
        <f>+VLOOKUP($A86,'1.2 FY2017'!$B$4:$G$86, 4, FALSE)</f>
        <v>G&amp;Resources Ltd</v>
      </c>
      <c r="E86" s="30">
        <f>-SUMIF('1.1 FY2016'!$B:$B, DataBase!A86, '1.1 FY2016'!F:F)</f>
        <v>0</v>
      </c>
      <c r="F86" s="25">
        <f>-SUMIF('1.2 FY2017'!$B:$B, DataBase!A86, '1.2 FY2017'!F:F)</f>
        <v>0</v>
      </c>
      <c r="G86" s="30">
        <f>-SUMIF('1.3 FY2018'!$B:$B, DataBase!A86, '1.3 FY2018'!F:F)</f>
        <v>0</v>
      </c>
      <c r="H86" s="31" t="s">
        <v>207</v>
      </c>
    </row>
    <row r="87" spans="1:8">
      <c r="A87" t="s">
        <v>175</v>
      </c>
      <c r="B87" t="str">
        <f>+VLOOKUP(A87, '1.2 FY2017'!$B$4:$G$86, 2, FALSE)</f>
        <v>Interest income</v>
      </c>
      <c r="C87" s="27">
        <f>+VLOOKUP($A87,'1.2 FY2017'!$B$4:$G$86, 3, FALSE)</f>
        <v>1006</v>
      </c>
      <c r="D87" t="str">
        <f>+VLOOKUP($A87,'1.2 FY2017'!$B$4:$G$86, 4, FALSE)</f>
        <v>Generco Mining GmbH</v>
      </c>
      <c r="E87" s="30">
        <f>-SUMIF('1.1 FY2016'!$B:$B, DataBase!A87, '1.1 FY2016'!F:F)</f>
        <v>0</v>
      </c>
      <c r="F87" s="25">
        <f>-SUMIF('1.2 FY2017'!$B:$B, DataBase!A87, '1.2 FY2017'!F:F)</f>
        <v>6778.415</v>
      </c>
      <c r="G87" s="30">
        <f>-SUMIF('1.3 FY2018'!$B:$B, DataBase!A87, '1.3 FY2018'!F:F)</f>
        <v>0</v>
      </c>
      <c r="H87" s="31" t="s">
        <v>207</v>
      </c>
    </row>
    <row r="88" spans="1:8">
      <c r="A88" t="s">
        <v>177</v>
      </c>
      <c r="B88" t="str">
        <f>+VLOOKUP(A88, '1.2 FY2017'!$B$4:$G$86, 2, FALSE)</f>
        <v>Interest expenses</v>
      </c>
      <c r="C88" s="27">
        <f>+VLOOKUP($A88,'1.2 FY2017'!$B$4:$G$86, 3, FALSE)</f>
        <v>1007</v>
      </c>
      <c r="D88" t="str">
        <f>+VLOOKUP($A88,'1.2 FY2017'!$B$4:$G$86, 4, FALSE)</f>
        <v>Generco Semiconductors Ltd</v>
      </c>
      <c r="E88" s="30">
        <f>-SUMIF('1.1 FY2016'!$B:$B, DataBase!A88, '1.1 FY2016'!F:F)</f>
        <v>0</v>
      </c>
      <c r="F88" s="25">
        <f>-SUMIF('1.2 FY2017'!$B:$B, DataBase!A88, '1.2 FY2017'!F:F)</f>
        <v>0</v>
      </c>
      <c r="G88" s="30">
        <f>-SUMIF('1.3 FY2018'!$B:$B, DataBase!A88, '1.3 FY2018'!F:F)</f>
        <v>0</v>
      </c>
      <c r="H88" s="31" t="s">
        <v>207</v>
      </c>
    </row>
    <row r="89" spans="1:8">
      <c r="A89" t="s">
        <v>178</v>
      </c>
      <c r="B89" t="str">
        <f>+VLOOKUP(A89, '1.2 FY2017'!$B$4:$G$86, 2, FALSE)</f>
        <v>Interest expenses</v>
      </c>
      <c r="C89" s="27">
        <f>+VLOOKUP($A89,'1.2 FY2017'!$B$4:$G$86, 3, FALSE)</f>
        <v>111111</v>
      </c>
      <c r="D89" t="str">
        <f>+VLOOKUP($A89,'1.2 FY2017'!$B$4:$G$86, 4, FALSE)</f>
        <v>External</v>
      </c>
      <c r="E89" s="30">
        <f>-SUMIF('1.1 FY2016'!$B:$B, DataBase!A89, '1.1 FY2016'!F:F)</f>
        <v>0</v>
      </c>
      <c r="F89" s="25">
        <f>-SUMIF('1.2 FY2017'!$B:$B, DataBase!A89, '1.2 FY2017'!F:F)</f>
        <v>-1250.7950000000001</v>
      </c>
      <c r="G89" s="30">
        <f>-SUMIF('1.3 FY2018'!$B:$B, DataBase!A89, '1.3 FY2018'!F:F)</f>
        <v>-51.454999999999998</v>
      </c>
      <c r="H89" s="31" t="s">
        <v>207</v>
      </c>
    </row>
    <row r="90" spans="1:8">
      <c r="A90" t="s">
        <v>179</v>
      </c>
      <c r="B90" t="str">
        <f>+VLOOKUP(A90, '1.2 FY2017'!$B$4:$G$86, 2, FALSE)</f>
        <v>Impairment of participation</v>
      </c>
      <c r="C90" s="27">
        <f>+VLOOKUP($A90,'1.2 FY2017'!$B$4:$G$86, 3, FALSE)</f>
        <v>1240</v>
      </c>
      <c r="D90" t="str">
        <f>+VLOOKUP($A90,'1.2 FY2017'!$B$4:$G$86, 4, FALSE)</f>
        <v xml:space="preserve">Generco UK </v>
      </c>
      <c r="E90" s="30">
        <f>-SUMIF('1.1 FY2016'!$B:$B, DataBase!A90, '1.1 FY2016'!F:F)</f>
        <v>0</v>
      </c>
      <c r="F90" s="25">
        <f>-SUMIF('1.2 FY2017'!$B:$B, DataBase!A90, '1.2 FY2017'!F:F)</f>
        <v>-4130000</v>
      </c>
      <c r="G90" s="30">
        <f>-SUMIF('1.3 FY2018'!$B:$B, DataBase!A90, '1.3 FY2018'!F:F)</f>
        <v>0</v>
      </c>
      <c r="H90" s="31" t="s">
        <v>206</v>
      </c>
    </row>
    <row r="91" spans="1:8">
      <c r="A91" t="s">
        <v>181</v>
      </c>
      <c r="B91" t="str">
        <f>+VLOOKUP(A91, '1.2 FY2017'!$B$4:$G$86, 2, FALSE)</f>
        <v>Quarterly changes in current taxes</v>
      </c>
      <c r="C91" s="27">
        <f>+VLOOKUP($A91,'1.2 FY2017'!$B$4:$G$86, 3, FALSE)</f>
        <v>111101</v>
      </c>
      <c r="D91" t="str">
        <f>+VLOOKUP($A91,'1.2 FY2017'!$B$4:$G$86, 4, FALSE)</f>
        <v>Not assigned</v>
      </c>
      <c r="E91" s="30">
        <f>-SUMIF('1.1 FY2016'!$B:$B, DataBase!A91, '1.1 FY2016'!F:F)</f>
        <v>0</v>
      </c>
      <c r="F91" s="25">
        <f>-SUMIF('1.2 FY2017'!$B:$B, DataBase!A91, '1.2 FY2017'!F:F)</f>
        <v>0</v>
      </c>
      <c r="G91" s="30">
        <f>-SUMIF('1.3 FY2018'!$B:$B, DataBase!A91, '1.3 FY2018'!F:F)</f>
        <v>0</v>
      </c>
      <c r="H91" s="32" t="s">
        <v>205</v>
      </c>
    </row>
    <row r="92" spans="1:8">
      <c r="A92" t="s">
        <v>183</v>
      </c>
      <c r="B92" t="str">
        <f>+VLOOKUP(A92, '1.2 FY2017'!$B$4:$G$86, 2, FALSE)</f>
        <v>Net income/(loss)</v>
      </c>
      <c r="C92" s="27">
        <f>+VLOOKUP($A92,'1.2 FY2017'!$B$4:$G$86, 3, FALSE)</f>
        <v>111101</v>
      </c>
      <c r="D92" t="str">
        <f>+VLOOKUP($A92,'1.2 FY2017'!$B$4:$G$86, 4, FALSE)</f>
        <v>Not assigned</v>
      </c>
      <c r="E92" s="30">
        <f>-SUMIF('1.1 FY2016'!$B:$B, DataBase!A92, '1.1 FY2016'!F:F)</f>
        <v>0</v>
      </c>
      <c r="F92" s="25">
        <f>-SUMIF('1.2 FY2017'!$B:$B, DataBase!A92, '1.2 FY2017'!F:F)</f>
        <v>-6073808.1600000001</v>
      </c>
      <c r="G92" s="30">
        <f>SUMIF('1.3 FY2018'!$B:$B, DataBase!A92, '1.3 FY2018'!F:F)</f>
        <v>-779290.47600000002</v>
      </c>
      <c r="H92" s="31" t="s">
        <v>209</v>
      </c>
    </row>
    <row r="93" spans="1:8">
      <c r="A93" t="s">
        <v>210</v>
      </c>
      <c r="B93" t="str">
        <f>+VLOOKUP($A93, '1.3 FY2018'!$B$4:$G$86, 2, FALSE)</f>
        <v>Operating expenses for utilities</v>
      </c>
      <c r="C93" s="27">
        <f>+VLOOKUP($A93, '1.3 FY2018'!$B$4:$G$86, 3, FALSE)</f>
        <v>111111</v>
      </c>
      <c r="D93" t="str">
        <f>+VLOOKUP($A93, '1.3 FY2018'!$B$4:$G$86, 4, FALSE)</f>
        <v>External</v>
      </c>
      <c r="E93" s="30">
        <f>-SUMIF('1.1 FY2016'!$B:$B, DataBase!A93, '1.1 FY2016'!F:F)</f>
        <v>0</v>
      </c>
      <c r="F93" s="25">
        <f>-SUMIF('1.2 FY2017'!$B:$B, DataBase!A93, '1.2 FY2017'!F:F)</f>
        <v>0</v>
      </c>
      <c r="G93" s="30">
        <f>-SUMIF('1.3 FY2018'!$B:$B, DataBase!A93, '1.3 FY2018'!F:F)</f>
        <v>-13691.949999999999</v>
      </c>
      <c r="H93" s="31" t="s">
        <v>201</v>
      </c>
    </row>
    <row r="94" spans="1:8">
      <c r="A94" t="s">
        <v>211</v>
      </c>
      <c r="B94" t="str">
        <f>+VLOOKUP($A94, '1.3 FY2018'!$B$4:$G$86, 2, FALSE)</f>
        <v>R&amp;D expenses</v>
      </c>
      <c r="C94" s="27" t="str">
        <f>+VLOOKUP($A94, '1.3 FY2018'!$B$4:$G$86, 3, FALSE)</f>
        <v>2185</v>
      </c>
      <c r="D94" t="str">
        <f>+VLOOKUP($A94, '1.3 FY2018'!$B$4:$G$86, 4, FALSE)</f>
        <v>Generco Green Projects GmbH</v>
      </c>
      <c r="E94" s="30">
        <f>-SUMIF('1.1 FY2016'!$B:$B, DataBase!A94, '1.1 FY2016'!F:F)</f>
        <v>0</v>
      </c>
      <c r="F94" s="25">
        <f>-SUMIF('1.2 FY2017'!$B:$B, DataBase!A94, '1.2 FY2017'!F:F)</f>
        <v>0</v>
      </c>
      <c r="G94" s="30">
        <f>-SUMIF('1.3 FY2018'!$B:$B, DataBase!A94, '1.3 FY2018'!F:F)</f>
        <v>-192017.14499999996</v>
      </c>
      <c r="H94" s="31" t="s">
        <v>201</v>
      </c>
    </row>
    <row r="95" spans="1:8">
      <c r="A95" t="s">
        <v>212</v>
      </c>
      <c r="B95" t="str">
        <f>+VLOOKUP($A95, '1.3 FY2018'!$B$4:$G$86, 2, FALSE)</f>
        <v>R&amp;D expenses</v>
      </c>
      <c r="C95" s="27" t="str">
        <f>+VLOOKUP($A95, '1.3 FY2018'!$B$4:$G$86, 3, FALSE)</f>
        <v>2240</v>
      </c>
      <c r="D95" t="str">
        <f>+VLOOKUP($A95, '1.3 FY2018'!$B$4:$G$86, 4, FALSE)</f>
        <v>Greeny Germany GmbH</v>
      </c>
      <c r="E95" s="30">
        <f>-SUMIF('1.1 FY2016'!$B:$B, DataBase!A95, '1.1 FY2016'!F:F)</f>
        <v>0</v>
      </c>
      <c r="F95" s="25">
        <f>-SUMIF('1.2 FY2017'!$B:$B, DataBase!A95, '1.2 FY2017'!F:F)</f>
        <v>0</v>
      </c>
      <c r="G95" s="30">
        <f>-SUMIF('1.3 FY2018'!$B:$B, DataBase!A95, '1.3 FY2018'!F:F)</f>
        <v>-375290.46599999996</v>
      </c>
      <c r="H95" s="31" t="s">
        <v>201</v>
      </c>
    </row>
    <row r="96" spans="1:8">
      <c r="A96" t="s">
        <v>213</v>
      </c>
      <c r="B96" t="str">
        <f>+VLOOKUP($A96, '1.3 FY2018'!$B$4:$G$86, 2, FALSE)</f>
        <v>R&amp;D expenses</v>
      </c>
      <c r="C96" s="27">
        <f>+VLOOKUP($A96, '1.3 FY2018'!$B$4:$G$86, 3, FALSE)</f>
        <v>17000</v>
      </c>
      <c r="D96" t="str">
        <f>+VLOOKUP($A96, '1.3 FY2018'!$B$4:$G$86, 4, FALSE)</f>
        <v>Generco Risk Management Ltd</v>
      </c>
      <c r="E96" s="30">
        <f>-SUMIF('1.1 FY2016'!$B:$B, DataBase!A96, '1.1 FY2016'!F:F)</f>
        <v>0</v>
      </c>
      <c r="F96" s="25">
        <f>-SUMIF('1.2 FY2017'!$B:$B, DataBase!A96, '1.2 FY2017'!F:F)</f>
        <v>0</v>
      </c>
      <c r="G96" s="30">
        <f>-SUMIF('1.3 FY2018'!$B:$B, DataBase!A96, '1.3 FY2018'!F:F)</f>
        <v>-4920</v>
      </c>
      <c r="H96" s="31" t="s">
        <v>201</v>
      </c>
    </row>
    <row r="97" spans="1:8">
      <c r="A97" t="s">
        <v>214</v>
      </c>
      <c r="B97" t="str">
        <f>+VLOOKUP($A97, '1.3 FY2018'!$B$4:$G$86, 2, FALSE)</f>
        <v>Other operative currency differences</v>
      </c>
      <c r="C97" s="27" t="str">
        <f>+VLOOKUP($A97, '1.3 FY2018'!$B$4:$G$86, 3, FALSE)</f>
        <v>1118</v>
      </c>
      <c r="D97" t="str">
        <f>+VLOOKUP($A97, '1.3 FY2018'!$B$4:$G$86, 4, FALSE)</f>
        <v>Gener Green LLC</v>
      </c>
      <c r="E97" s="30">
        <f>-SUMIF('1.1 FY2016'!$B:$B, DataBase!A97, '1.1 FY2016'!F:F)</f>
        <v>0</v>
      </c>
      <c r="F97" s="25">
        <f>-SUMIF('1.2 FY2017'!$B:$B, DataBase!A97, '1.2 FY2017'!F:F)</f>
        <v>0</v>
      </c>
      <c r="G97" s="30">
        <f>-SUMIF('1.3 FY2018'!$B:$B, DataBase!A97, '1.3 FY2018'!F:F)</f>
        <v>0</v>
      </c>
      <c r="H97" s="31" t="s">
        <v>201</v>
      </c>
    </row>
    <row r="98" spans="1:8">
      <c r="A98" t="s">
        <v>215</v>
      </c>
      <c r="B98" t="str">
        <f>+VLOOKUP($A98, '1.3 FY2018'!$B$4:$G$86, 2, FALSE)</f>
        <v>Other operative currency differences</v>
      </c>
      <c r="C98" s="27">
        <f>+VLOOKUP($A98, '1.3 FY2018'!$B$4:$G$86, 3, FALSE)</f>
        <v>111111</v>
      </c>
      <c r="D98" t="str">
        <f>+VLOOKUP($A98, '1.3 FY2018'!$B$4:$G$86, 4, FALSE)</f>
        <v>External</v>
      </c>
      <c r="E98" s="30">
        <f>-SUMIF('1.1 FY2016'!$B:$B, DataBase!A98, '1.1 FY2016'!F:F)</f>
        <v>0</v>
      </c>
      <c r="F98" s="25">
        <f>-SUMIF('1.2 FY2017'!$B:$B, DataBase!A98, '1.2 FY2017'!F:F)</f>
        <v>0</v>
      </c>
      <c r="G98" s="30">
        <f>-SUMIF('1.3 FY2018'!$B:$B, DataBase!A98, '1.3 FY2018'!F:F)</f>
        <v>1252.8369999999998</v>
      </c>
      <c r="H98" s="31" t="s">
        <v>201</v>
      </c>
    </row>
    <row r="99" spans="1:8">
      <c r="A99" t="s">
        <v>216</v>
      </c>
      <c r="B99" t="str">
        <f>+VLOOKUP($A99, '1.3 FY2018'!$B$4:$G$86, 2, FALSE)</f>
        <v>Corporate recharges</v>
      </c>
      <c r="C99" s="27">
        <f>+VLOOKUP($A99, '1.3 FY2018'!$B$4:$G$86, 3, FALSE)</f>
        <v>1006</v>
      </c>
      <c r="D99" t="str">
        <f>+VLOOKUP($A99, '1.3 FY2018'!$B$4:$G$86, 4, FALSE)</f>
        <v>Generco Mining GmbH</v>
      </c>
      <c r="E99" s="30">
        <f>-SUMIF('1.1 FY2016'!$B:$B, DataBase!A99, '1.1 FY2016'!F:F)</f>
        <v>0</v>
      </c>
      <c r="F99" s="25">
        <f>-SUMIF('1.2 FY2017'!$B:$B, DataBase!A99, '1.2 FY2017'!F:F)</f>
        <v>0</v>
      </c>
      <c r="G99" s="30">
        <f>-SUMIF('1.3 FY2018'!$B:$B, DataBase!A99, '1.3 FY2018'!F:F)</f>
        <v>0</v>
      </c>
      <c r="H99" s="31" t="s">
        <v>203</v>
      </c>
    </row>
    <row r="100" spans="1:8">
      <c r="A100" t="s">
        <v>217</v>
      </c>
      <c r="B100" t="str">
        <f>+VLOOKUP($A100, '1.3 FY2018'!$B$4:$G$86, 2, FALSE)</f>
        <v>Reimbursements+compensation for damages</v>
      </c>
      <c r="C100" s="27">
        <f>+VLOOKUP($A100, '1.3 FY2018'!$B$4:$G$86, 3, FALSE)</f>
        <v>111111</v>
      </c>
      <c r="D100" t="str">
        <f>+VLOOKUP($A100, '1.3 FY2018'!$B$4:$G$86, 4, FALSE)</f>
        <v>External</v>
      </c>
      <c r="E100" s="30">
        <f>-SUMIF('1.1 FY2016'!$B:$B, DataBase!A100, '1.1 FY2016'!F:F)</f>
        <v>0</v>
      </c>
      <c r="F100" s="25">
        <f>-SUMIF('1.2 FY2017'!$B:$B, DataBase!A100, '1.2 FY2017'!F:F)</f>
        <v>0</v>
      </c>
      <c r="G100" s="30">
        <f>-SUMIF('1.3 FY2018'!$B:$B, DataBase!A100, '1.3 FY2018'!F:F)</f>
        <v>61499.999999999993</v>
      </c>
      <c r="H100" s="31" t="s">
        <v>201</v>
      </c>
    </row>
    <row r="101" spans="1:8">
      <c r="A101" t="s">
        <v>218</v>
      </c>
      <c r="B101" t="str">
        <f>+VLOOKUP($A101, '1.3 FY2018'!$B$4:$G$86, 2, FALSE)</f>
        <v>Other income</v>
      </c>
      <c r="C101" s="27">
        <f>+VLOOKUP($A101, '1.3 FY2018'!$B$4:$G$86, 3, FALSE)</f>
        <v>105</v>
      </c>
      <c r="D101" t="str">
        <f>+VLOOKUP($A101, '1.3 FY2018'!$B$4:$G$86, 4, FALSE)</f>
        <v>Generco Healthcare Ltd</v>
      </c>
      <c r="E101" s="30">
        <f>-SUMIF('1.1 FY2016'!$B:$B, DataBase!A101, '1.1 FY2016'!F:F)</f>
        <v>0</v>
      </c>
      <c r="F101" s="25">
        <f>-SUMIF('1.2 FY2017'!$B:$B, DataBase!A101, '1.2 FY2017'!F:F)</f>
        <v>0</v>
      </c>
      <c r="G101" s="30">
        <f>-SUMIF('1.3 FY2018'!$B:$B, DataBase!A101, '1.3 FY2018'!F:F)</f>
        <v>30913.425999999996</v>
      </c>
      <c r="H101" s="31" t="s">
        <v>62</v>
      </c>
    </row>
    <row r="102" spans="1:8">
      <c r="A102" t="s">
        <v>219</v>
      </c>
      <c r="B102" t="str">
        <f>+VLOOKUP($A102, '1.3 FY2018'!$B$4:$G$86, 2, FALSE)</f>
        <v>Leasings</v>
      </c>
      <c r="C102" s="27">
        <f>+VLOOKUP($A102, '1.3 FY2018'!$B$4:$G$86, 3, FALSE)</f>
        <v>105</v>
      </c>
      <c r="D102" t="str">
        <f>+VLOOKUP($A102, '1.3 FY2018'!$B$4:$G$86, 4, FALSE)</f>
        <v>Generco Healthcare Ltd</v>
      </c>
      <c r="E102" s="30">
        <f>-SUMIF('1.1 FY2016'!$B:$B, DataBase!A102, '1.1 FY2016'!F:F)</f>
        <v>0</v>
      </c>
      <c r="F102" s="25">
        <f>-SUMIF('1.2 FY2017'!$B:$B, DataBase!A102, '1.2 FY2017'!F:F)</f>
        <v>0</v>
      </c>
      <c r="G102" s="30">
        <f>-SUMIF('1.3 FY2018'!$B:$B, DataBase!A102, '1.3 FY2018'!F:F)</f>
        <v>1423120</v>
      </c>
      <c r="H102" s="31" t="s">
        <v>69</v>
      </c>
    </row>
    <row r="103" spans="1:8">
      <c r="A103" t="s">
        <v>220</v>
      </c>
      <c r="B103" t="str">
        <f>+VLOOKUP($A103, '1.3 FY2018'!$B$4:$G$86, 2, FALSE)</f>
        <v>Insurance expenses</v>
      </c>
      <c r="C103" s="27">
        <f>+VLOOKUP($A103, '1.3 FY2018'!$B$4:$G$86, 3, FALSE)</f>
        <v>88</v>
      </c>
      <c r="D103" t="str">
        <f>+VLOOKUP($A103, '1.3 FY2018'!$B$4:$G$86, 4, FALSE)</f>
        <v>Generco Ltd</v>
      </c>
      <c r="E103" s="30">
        <f>-SUMIF('1.1 FY2016'!$B:$B, DataBase!A103, '1.1 FY2016'!F:F)</f>
        <v>0</v>
      </c>
      <c r="F103" s="25">
        <f>-SUMIF('1.2 FY2017'!$B:$B, DataBase!A103, '1.2 FY2017'!F:F)</f>
        <v>0</v>
      </c>
      <c r="G103" s="30">
        <f>-SUMIF('1.3 FY2018'!$B:$B, DataBase!A103, '1.3 FY2018'!F:F)</f>
        <v>-584.66</v>
      </c>
      <c r="H103" s="32" t="s">
        <v>205</v>
      </c>
    </row>
    <row r="104" spans="1:8">
      <c r="A104" t="s">
        <v>221</v>
      </c>
      <c r="B104" t="str">
        <f>+VLOOKUP($A104, '1.3 FY2018'!$B$4:$G$86, 2, FALSE)</f>
        <v>Repairs/Maintenance costs</v>
      </c>
      <c r="C104" s="27">
        <f>+VLOOKUP($A104, '1.3 FY2018'!$B$4:$G$86, 3, FALSE)</f>
        <v>111111</v>
      </c>
      <c r="D104" t="str">
        <f>+VLOOKUP($A104, '1.3 FY2018'!$B$4:$G$86, 4, FALSE)</f>
        <v>External</v>
      </c>
      <c r="E104" s="30">
        <f>-SUMIF('1.1 FY2016'!$B:$B, DataBase!A104, '1.1 FY2016'!F:F)</f>
        <v>0</v>
      </c>
      <c r="F104" s="25">
        <f>-SUMIF('1.2 FY2017'!$B:$B, DataBase!A104, '1.2 FY2017'!F:F)</f>
        <v>0</v>
      </c>
      <c r="G104" s="30">
        <f>-SUMIF('1.3 FY2018'!$B:$B, DataBase!A104, '1.3 FY2018'!F:F)</f>
        <v>-1352.9999999999998</v>
      </c>
      <c r="H104" s="31" t="s">
        <v>201</v>
      </c>
    </row>
    <row r="105" spans="1:8">
      <c r="A105" t="s">
        <v>222</v>
      </c>
      <c r="B105" t="str">
        <f>+VLOOKUP($A105, '1.3 FY2018'!$B$4:$G$86, 2, FALSE)</f>
        <v>Impairment of participation</v>
      </c>
      <c r="C105" s="27">
        <f>+VLOOKUP($A105, '1.3 FY2018'!$B$4:$G$86, 3, FALSE)</f>
        <v>111101</v>
      </c>
      <c r="D105" t="str">
        <f>+VLOOKUP($A105, '1.3 FY2018'!$B$4:$G$86, 4, FALSE)</f>
        <v>Not assigned</v>
      </c>
      <c r="E105" s="30">
        <f>-SUMIF('1.1 FY2016'!$B:$B, DataBase!A105, '1.1 FY2016'!F:F)</f>
        <v>0</v>
      </c>
      <c r="F105" s="25">
        <f>-SUMIF('1.2 FY2017'!$B:$B, DataBase!A105, '1.2 FY2017'!F:F)</f>
        <v>0</v>
      </c>
      <c r="G105" s="30">
        <f>-SUMIF('1.3 FY2018'!$B:$B, DataBase!A105, '1.3 FY2018'!F:F)</f>
        <v>0</v>
      </c>
      <c r="H105" s="31" t="s">
        <v>206</v>
      </c>
    </row>
    <row r="106" spans="1:8">
      <c r="A106" t="s">
        <v>223</v>
      </c>
      <c r="B106" t="str">
        <f>+VLOOKUP($A106, '1.3 FY2018'!$B$4:$G$86, 2, FALSE)</f>
        <v>Offset segments (tech.)</v>
      </c>
      <c r="C106" s="27">
        <f>+VLOOKUP($A106, '1.3 FY2018'!$B$4:$G$86, 3, FALSE)</f>
        <v>111101</v>
      </c>
      <c r="D106" t="str">
        <f>+VLOOKUP($A106, '1.3 FY2018'!$B$4:$G$86, 4, FALSE)</f>
        <v>Not assigned</v>
      </c>
      <c r="E106" s="30">
        <f>-SUMIF('1.1 FY2016'!$B:$B, DataBase!A106, '1.1 FY2016'!F:F)</f>
        <v>0</v>
      </c>
      <c r="F106" s="25">
        <f>-SUMIF('1.2 FY2017'!$B:$B, DataBase!A106, '1.2 FY2017'!F:F)</f>
        <v>0</v>
      </c>
      <c r="G106" s="30">
        <f>-SUMIF('1.3 FY2018'!$B:$B, DataBase!A106, '1.3 FY2018'!F:F)</f>
        <v>0</v>
      </c>
      <c r="H106" s="25" t="s">
        <v>205</v>
      </c>
    </row>
    <row r="107" spans="1:8">
      <c r="A107"/>
    </row>
    <row r="108" spans="1:8">
      <c r="A108"/>
    </row>
    <row r="109" spans="1:8">
      <c r="A109"/>
    </row>
    <row r="110" spans="1:8">
      <c r="A110"/>
    </row>
    <row r="111" spans="1:8">
      <c r="A111"/>
    </row>
    <row r="112" spans="1:8">
      <c r="A112"/>
    </row>
    <row r="113" spans="1:1">
      <c r="A113"/>
    </row>
    <row r="114" spans="1:1">
      <c r="A114"/>
    </row>
    <row r="115" spans="1:1">
      <c r="A115"/>
    </row>
    <row r="116" spans="1:1">
      <c r="A116"/>
    </row>
    <row r="117" spans="1:1">
      <c r="A117"/>
    </row>
    <row r="118" spans="1:1">
      <c r="A118"/>
    </row>
    <row r="119" spans="1:1">
      <c r="A119"/>
    </row>
    <row r="120" spans="1:1">
      <c r="A120"/>
    </row>
    <row r="121" spans="1:1">
      <c r="A121"/>
    </row>
    <row r="122" spans="1:1">
      <c r="A122"/>
    </row>
    <row r="123" spans="1:1">
      <c r="A123"/>
    </row>
    <row r="124" spans="1:1">
      <c r="A124"/>
    </row>
    <row r="125" spans="1:1">
      <c r="A125"/>
    </row>
    <row r="126" spans="1:1">
      <c r="A126"/>
    </row>
    <row r="127" spans="1:1">
      <c r="A127"/>
    </row>
    <row r="128" spans="1:1">
      <c r="A128"/>
    </row>
    <row r="129" spans="1:1">
      <c r="A129"/>
    </row>
    <row r="130" spans="1:1">
      <c r="A130"/>
    </row>
    <row r="131" spans="1:1">
      <c r="A131"/>
    </row>
    <row r="132" spans="1:1">
      <c r="A132"/>
    </row>
    <row r="133" spans="1:1">
      <c r="A133"/>
    </row>
    <row r="134" spans="1:1">
      <c r="A134"/>
    </row>
    <row r="135" spans="1:1">
      <c r="A135"/>
    </row>
    <row r="136" spans="1:1">
      <c r="A136"/>
    </row>
    <row r="137" spans="1:1">
      <c r="A137"/>
    </row>
    <row r="138" spans="1:1">
      <c r="A138"/>
    </row>
    <row r="139" spans="1:1">
      <c r="A139"/>
    </row>
    <row r="140" spans="1:1">
      <c r="A140"/>
    </row>
    <row r="141" spans="1:1">
      <c r="A141"/>
    </row>
    <row r="142" spans="1:1">
      <c r="A142"/>
    </row>
    <row r="143" spans="1:1">
      <c r="A143"/>
    </row>
    <row r="144" spans="1:1">
      <c r="A144"/>
    </row>
    <row r="145" spans="1:1">
      <c r="A145"/>
    </row>
    <row r="146" spans="1:1">
      <c r="A146"/>
    </row>
    <row r="147" spans="1:1">
      <c r="A147"/>
    </row>
    <row r="148" spans="1:1">
      <c r="A148"/>
    </row>
    <row r="149" spans="1:1">
      <c r="A149"/>
    </row>
    <row r="150" spans="1:1">
      <c r="A150"/>
    </row>
    <row r="151" spans="1:1">
      <c r="A151"/>
    </row>
    <row r="152" spans="1:1">
      <c r="A152"/>
    </row>
    <row r="153" spans="1:1">
      <c r="A153"/>
    </row>
    <row r="154" spans="1:1">
      <c r="A154"/>
    </row>
    <row r="155" spans="1:1">
      <c r="A155"/>
    </row>
    <row r="156" spans="1:1">
      <c r="A156"/>
    </row>
    <row r="157" spans="1:1">
      <c r="A157"/>
    </row>
    <row r="158" spans="1:1">
      <c r="A158"/>
    </row>
    <row r="159" spans="1:1">
      <c r="A159"/>
    </row>
    <row r="160" spans="1:1">
      <c r="A160"/>
    </row>
    <row r="161" spans="1:1">
      <c r="A161"/>
    </row>
    <row r="162" spans="1:1">
      <c r="A162"/>
    </row>
    <row r="163" spans="1:1">
      <c r="A163"/>
    </row>
    <row r="164" spans="1:1">
      <c r="A164"/>
    </row>
    <row r="165" spans="1:1">
      <c r="A165"/>
    </row>
    <row r="166" spans="1:1">
      <c r="A166"/>
    </row>
    <row r="167" spans="1:1">
      <c r="A167"/>
    </row>
    <row r="168" spans="1:1">
      <c r="A168"/>
    </row>
    <row r="169" spans="1:1">
      <c r="A169"/>
    </row>
    <row r="170" spans="1:1">
      <c r="A170"/>
    </row>
    <row r="171" spans="1:1">
      <c r="A171"/>
    </row>
    <row r="172" spans="1:1">
      <c r="A172"/>
    </row>
    <row r="173" spans="1:1">
      <c r="A173"/>
    </row>
    <row r="174" spans="1:1">
      <c r="A174"/>
    </row>
    <row r="175" spans="1:1">
      <c r="A175"/>
    </row>
    <row r="176" spans="1:1">
      <c r="A176"/>
    </row>
    <row r="177" spans="1:1">
      <c r="A177"/>
    </row>
    <row r="178" spans="1:1">
      <c r="A178"/>
    </row>
    <row r="179" spans="1:1">
      <c r="A179"/>
    </row>
    <row r="180" spans="1:1">
      <c r="A180"/>
    </row>
    <row r="181" spans="1:1">
      <c r="A181"/>
    </row>
    <row r="182" spans="1:1">
      <c r="A182"/>
    </row>
    <row r="183" spans="1:1">
      <c r="A183"/>
    </row>
    <row r="184" spans="1:1">
      <c r="A184"/>
    </row>
    <row r="185" spans="1:1">
      <c r="A185"/>
    </row>
    <row r="186" spans="1:1">
      <c r="A186"/>
    </row>
    <row r="187" spans="1:1">
      <c r="A187"/>
    </row>
    <row r="188" spans="1:1">
      <c r="A188"/>
    </row>
    <row r="189" spans="1:1">
      <c r="A189"/>
    </row>
    <row r="190" spans="1:1">
      <c r="A190"/>
    </row>
    <row r="191" spans="1:1">
      <c r="A191"/>
    </row>
    <row r="192" spans="1:1">
      <c r="A192"/>
    </row>
    <row r="193" spans="1:1">
      <c r="A193"/>
    </row>
    <row r="194" spans="1:1">
      <c r="A194"/>
    </row>
    <row r="195" spans="1:1">
      <c r="A195"/>
    </row>
    <row r="196" spans="1:1">
      <c r="A196"/>
    </row>
    <row r="197" spans="1:1">
      <c r="A197"/>
    </row>
    <row r="198" spans="1:1">
      <c r="A198"/>
    </row>
    <row r="199" spans="1:1">
      <c r="A199"/>
    </row>
    <row r="200" spans="1:1">
      <c r="A200"/>
    </row>
    <row r="201" spans="1:1">
      <c r="A201"/>
    </row>
    <row r="202" spans="1:1">
      <c r="A202"/>
    </row>
    <row r="203" spans="1:1">
      <c r="A203"/>
    </row>
    <row r="204" spans="1:1">
      <c r="A204"/>
    </row>
    <row r="205" spans="1:1">
      <c r="A205"/>
    </row>
    <row r="206" spans="1:1">
      <c r="A206"/>
    </row>
    <row r="207" spans="1:1">
      <c r="A207"/>
    </row>
    <row r="208" spans="1:1">
      <c r="A208"/>
    </row>
    <row r="209" spans="1:1">
      <c r="A209"/>
    </row>
    <row r="210" spans="1:1">
      <c r="A210"/>
    </row>
    <row r="211" spans="1:1">
      <c r="A211"/>
    </row>
    <row r="212" spans="1:1">
      <c r="A212"/>
    </row>
    <row r="213" spans="1:1">
      <c r="A213"/>
    </row>
    <row r="214" spans="1:1">
      <c r="A214"/>
    </row>
    <row r="215" spans="1:1">
      <c r="A215"/>
    </row>
    <row r="216" spans="1:1">
      <c r="A216"/>
    </row>
    <row r="217" spans="1:1">
      <c r="A217"/>
    </row>
    <row r="218" spans="1:1">
      <c r="A218"/>
    </row>
    <row r="219" spans="1:1">
      <c r="A219"/>
    </row>
    <row r="220" spans="1:1">
      <c r="A220"/>
    </row>
    <row r="221" spans="1:1">
      <c r="A221"/>
    </row>
    <row r="222" spans="1:1">
      <c r="A22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47529-31E6-4ED9-BA3D-B9F8511BEAEE}">
  <dimension ref="A1:E23"/>
  <sheetViews>
    <sheetView showGridLines="0" workbookViewId="0">
      <selection activeCell="H8" sqref="H8"/>
    </sheetView>
  </sheetViews>
  <sheetFormatPr defaultRowHeight="15"/>
  <cols>
    <col min="2" max="2" width="25" customWidth="1"/>
    <col min="3" max="3" width="9.140625" style="45" customWidth="1"/>
    <col min="4" max="4" width="9.28515625" style="45" bestFit="1" customWidth="1"/>
    <col min="5" max="5" width="9.140625" style="45"/>
  </cols>
  <sheetData>
    <row r="1" spans="1:5" ht="23.25">
      <c r="A1" s="34" t="s">
        <v>224</v>
      </c>
    </row>
    <row r="3" spans="1:5" s="35" customFormat="1">
      <c r="B3" s="36" t="s">
        <v>225</v>
      </c>
      <c r="C3" s="46" t="s">
        <v>226</v>
      </c>
      <c r="D3" s="46" t="s">
        <v>227</v>
      </c>
      <c r="E3" s="46" t="s">
        <v>228</v>
      </c>
    </row>
    <row r="4" spans="1:5">
      <c r="B4" s="33" t="s">
        <v>199</v>
      </c>
      <c r="C4" s="42">
        <f>SUMIF(DataBase!$H:$H, 'P&amp;L Statement'!$B4, DataBase!E:E) / 1000000</f>
        <v>14.500341000000001</v>
      </c>
      <c r="D4" s="42">
        <f>SUMIF(DataBase!$H:$H, 'P&amp;L Statement'!$B4, DataBase!F:F) / 1000000</f>
        <v>16.148295364999999</v>
      </c>
      <c r="E4" s="42">
        <f>SUMIF(DataBase!$H:$H, 'P&amp;L Statement'!$B4, DataBase!G:G) / 1000000</f>
        <v>15.047803019</v>
      </c>
    </row>
    <row r="5" spans="1:5">
      <c r="B5" s="33" t="s">
        <v>17</v>
      </c>
      <c r="C5" s="42">
        <f>SUMIF(DataBase!$H:$H, 'P&amp;L Statement'!$B5, DataBase!E:E) / 1000000</f>
        <v>4.7948561920000001</v>
      </c>
      <c r="D5" s="42">
        <f>SUMIF(DataBase!$H:$H, 'P&amp;L Statement'!$B5, DataBase!F:F) / 1000000</f>
        <v>6.9602176449999993</v>
      </c>
      <c r="E5" s="42">
        <f>SUMIF(DataBase!$H:$H, 'P&amp;L Statement'!$B5, DataBase!G:G) / 1000000</f>
        <v>6.3736175140000002</v>
      </c>
    </row>
    <row r="6" spans="1:5">
      <c r="B6" s="33" t="s">
        <v>203</v>
      </c>
      <c r="C6" s="42">
        <f>SUMIF(DataBase!$H:$H, 'P&amp;L Statement'!$B6, DataBase!E:E) / 1000000</f>
        <v>3.2200542519999997</v>
      </c>
      <c r="D6" s="42">
        <f>SUMIF(DataBase!$H:$H, 'P&amp;L Statement'!$B6, DataBase!F:F) / 1000000</f>
        <v>2.9240919949999999</v>
      </c>
      <c r="E6" s="42">
        <f>SUMIF(DataBase!$H:$H, 'P&amp;L Statement'!$B6, DataBase!G:G) / 1000000</f>
        <v>4.8931777299999997</v>
      </c>
    </row>
    <row r="7" spans="1:5">
      <c r="B7" s="38" t="s">
        <v>229</v>
      </c>
      <c r="C7" s="43">
        <f>SUM(C4:C6)</f>
        <v>22.515251444</v>
      </c>
      <c r="D7" s="43">
        <f t="shared" ref="D7:E7" si="0">SUM(D4:D6)</f>
        <v>26.032605005000001</v>
      </c>
      <c r="E7" s="43">
        <f t="shared" si="0"/>
        <v>26.314598263000001</v>
      </c>
    </row>
    <row r="8" spans="1:5">
      <c r="B8" s="33" t="s">
        <v>27</v>
      </c>
      <c r="C8" s="41">
        <f>SUMIF(DataBase!$H:$H, 'P&amp;L Statement'!$B8, DataBase!E:E)/ 1000000</f>
        <v>-4.4289117640000004</v>
      </c>
      <c r="D8" s="41">
        <f>SUMIF(DataBase!$H:$H, 'P&amp;L Statement'!$B8, DataBase!F:F)/ 1000000</f>
        <v>-5.4631888250000005</v>
      </c>
      <c r="E8" s="41">
        <f>SUMIF(DataBase!$H:$H, 'P&amp;L Statement'!$B8, DataBase!G:G)/ 1000000</f>
        <v>-5.6741520669999996</v>
      </c>
    </row>
    <row r="9" spans="1:5">
      <c r="B9" s="39" t="s">
        <v>230</v>
      </c>
      <c r="C9" s="43">
        <f>SUM(C7:C8)</f>
        <v>18.086339680000002</v>
      </c>
      <c r="D9" s="43">
        <f t="shared" ref="D9:E9" si="1">SUM(D7:D8)</f>
        <v>20.569416180000001</v>
      </c>
      <c r="E9" s="43">
        <f t="shared" si="1"/>
        <v>20.640446195999999</v>
      </c>
    </row>
    <row r="10" spans="1:5">
      <c r="B10" s="33" t="s">
        <v>201</v>
      </c>
      <c r="C10" s="41">
        <f>SUMIF(DataBase!$H:$H, 'P&amp;L Statement'!$B10, DataBase!E:E)/ 1000000</f>
        <v>-4.4331649800000008</v>
      </c>
      <c r="D10" s="41">
        <f>SUMIF(DataBase!$H:$H, 'P&amp;L Statement'!$B10, DataBase!F:F)/ 1000000</f>
        <v>-5.4107647399999994</v>
      </c>
      <c r="E10" s="41">
        <f>SUMIF(DataBase!$H:$H, 'P&amp;L Statement'!$B10, DataBase!G:G)/ 1000000</f>
        <v>-6.8772488729999983</v>
      </c>
    </row>
    <row r="11" spans="1:5">
      <c r="B11" s="33" t="s">
        <v>202</v>
      </c>
      <c r="C11" s="41">
        <f>SUMIF(DataBase!$H:$H, 'P&amp;L Statement'!$B11, DataBase!E:E)/ 1000000</f>
        <v>-6.17073904</v>
      </c>
      <c r="D11" s="41">
        <f>SUMIF(DataBase!$H:$H, 'P&amp;L Statement'!$B11, DataBase!F:F)/ 1000000</f>
        <v>-8.0718589449999989</v>
      </c>
      <c r="E11" s="41">
        <f>SUMIF(DataBase!$H:$H, 'P&amp;L Statement'!$B11, DataBase!G:G)/ 1000000</f>
        <v>-5.8358881759999992</v>
      </c>
    </row>
    <row r="12" spans="1:5">
      <c r="B12" s="33" t="s">
        <v>69</v>
      </c>
      <c r="C12" s="41">
        <f>SUMIF(DataBase!$H:$H, 'P&amp;L Statement'!$B12, DataBase!E:E)/ 1000000</f>
        <v>-1.127445872</v>
      </c>
      <c r="D12" s="41">
        <f>SUMIF(DataBase!$H:$H, 'P&amp;L Statement'!$B12, DataBase!F:F)/ 1000000</f>
        <v>-1.0553814750000001</v>
      </c>
      <c r="E12" s="41">
        <f>SUMIF(DataBase!$H:$H, 'P&amp;L Statement'!$B12, DataBase!G:G)/ 1000000</f>
        <v>1.596053449</v>
      </c>
    </row>
    <row r="13" spans="1:5">
      <c r="B13" s="33" t="s">
        <v>204</v>
      </c>
      <c r="C13" s="41">
        <f>SUMIF(DataBase!$H:$H, 'P&amp;L Statement'!$B13, DataBase!E:E)/ 1000000</f>
        <v>-2.5430882079999995</v>
      </c>
      <c r="D13" s="41">
        <f>SUMIF(DataBase!$H:$H, 'P&amp;L Statement'!$B13, DataBase!F:F)/ 1000000</f>
        <v>-1.837786345</v>
      </c>
      <c r="E13" s="41">
        <f>SUMIF(DataBase!$H:$H, 'P&amp;L Statement'!$B13, DataBase!G:G)/ 1000000</f>
        <v>-1.9549839309999999</v>
      </c>
    </row>
    <row r="14" spans="1:5">
      <c r="B14" s="33" t="s">
        <v>62</v>
      </c>
      <c r="C14" s="41">
        <f>SUMIF(DataBase!$H:$H, 'P&amp;L Statement'!$B14, DataBase!E:E)/ 1000000</f>
        <v>5.7221999999999995E-5</v>
      </c>
      <c r="D14" s="41">
        <f>SUMIF(DataBase!$H:$H, 'P&amp;L Statement'!$B14, DataBase!F:F)/ 1000000</f>
        <v>-7.3574899999999995E-3</v>
      </c>
      <c r="E14" s="41">
        <f>SUMIF(DataBase!$H:$H, 'P&amp;L Statement'!$B14, DataBase!G:G)/ 1000000</f>
        <v>4.678542799999999E-2</v>
      </c>
    </row>
    <row r="15" spans="1:5">
      <c r="B15" s="33" t="s">
        <v>18</v>
      </c>
      <c r="C15" s="41">
        <f>SUMIF(DataBase!$H:$H, 'P&amp;L Statement'!$B15, DataBase!E:E)/ 1000000</f>
        <v>5.2683321979999995</v>
      </c>
      <c r="D15" s="41">
        <f>SUMIF(DataBase!$H:$H, 'P&amp;L Statement'!$B15, DataBase!F:F)/ 1000000</f>
        <v>0.74482694999999999</v>
      </c>
      <c r="E15" s="41">
        <f>SUMIF(DataBase!$H:$H, 'P&amp;L Statement'!$B15, DataBase!G:G)/ 1000000</f>
        <v>0</v>
      </c>
    </row>
    <row r="16" spans="1:5">
      <c r="B16" s="38" t="s">
        <v>231</v>
      </c>
      <c r="C16" s="43">
        <f>SUM(C9:C15)</f>
        <v>9.0802910000000008</v>
      </c>
      <c r="D16" s="43">
        <f t="shared" ref="D16:E16" si="2">SUM(D9:D15)</f>
        <v>4.9310941350000022</v>
      </c>
      <c r="E16" s="43">
        <f t="shared" si="2"/>
        <v>7.6151640929999997</v>
      </c>
    </row>
    <row r="17" spans="2:5">
      <c r="B17" s="33" t="s">
        <v>42</v>
      </c>
      <c r="C17" s="41">
        <f>SUMIF(DataBase!$H:$H, 'P&amp;L Statement'!$B17, DataBase!E:E) / 10000000</f>
        <v>-0.20452435140000003</v>
      </c>
      <c r="D17" s="41">
        <f>SUMIF(DataBase!$H:$H, 'P&amp;L Statement'!$B17, DataBase!F:F) / 10000000</f>
        <v>-0.20440058150000001</v>
      </c>
      <c r="E17" s="41">
        <f>SUMIF(DataBase!$H:$H, 'P&amp;L Statement'!$B17, DataBase!G:G) / 10000000</f>
        <v>-0.18883615139999999</v>
      </c>
    </row>
    <row r="18" spans="2:5">
      <c r="B18" s="38" t="s">
        <v>232</v>
      </c>
      <c r="C18" s="43">
        <f>SUM(C16:C17)</f>
        <v>8.8757666486000009</v>
      </c>
      <c r="D18" s="43">
        <f t="shared" ref="D18:E18" si="3">SUM(D16:D17)</f>
        <v>4.7266935535000023</v>
      </c>
      <c r="E18" s="43">
        <f t="shared" si="3"/>
        <v>7.4263279415999994</v>
      </c>
    </row>
    <row r="19" spans="2:5">
      <c r="B19" s="33" t="s">
        <v>207</v>
      </c>
      <c r="C19" s="41">
        <f>SUMIF(DataBase!$H:$H, 'P&amp;L Statement'!$B19, DataBase!E:E)/10000000</f>
        <v>-0.28426923659999997</v>
      </c>
      <c r="D19" s="41">
        <f>SUMIF(DataBase!$H:$H, 'P&amp;L Statement'!$B19, DataBase!F:F)/10000000</f>
        <v>-0.27107469200000001</v>
      </c>
      <c r="E19" s="41">
        <f>SUMIF(DataBase!$H:$H, 'P&amp;L Statement'!$B19, DataBase!G:G)/10000000</f>
        <v>-0.22507078289999999</v>
      </c>
    </row>
    <row r="20" spans="2:5">
      <c r="B20" s="33" t="s">
        <v>206</v>
      </c>
      <c r="C20" s="41">
        <f>SUMIF(DataBase!$H:$H, 'P&amp;L Statement'!$B20, DataBase!E:E)/10000000</f>
        <v>-5.8668115200000003E-2</v>
      </c>
      <c r="D20" s="41">
        <f>SUMIF(DataBase!$H:$H, 'P&amp;L Statement'!$B20, DataBase!F:F)/10000000</f>
        <v>-0.52174889299999994</v>
      </c>
      <c r="E20" s="41">
        <f>SUMIF(DataBase!$H:$H, 'P&amp;L Statement'!$B20, DataBase!G:G)/10000000</f>
        <v>-0.22672147609999996</v>
      </c>
    </row>
    <row r="21" spans="2:5">
      <c r="B21" s="38" t="s">
        <v>233</v>
      </c>
      <c r="C21" s="43">
        <f>SUM(C18:C20)</f>
        <v>8.532829296800001</v>
      </c>
      <c r="D21" s="43">
        <f t="shared" ref="D21:E21" si="4">SUM(D18:D20)</f>
        <v>3.9338699685000025</v>
      </c>
      <c r="E21" s="43">
        <f t="shared" si="4"/>
        <v>6.9745356826</v>
      </c>
    </row>
    <row r="22" spans="2:5">
      <c r="B22" s="33" t="s">
        <v>208</v>
      </c>
      <c r="C22" s="41">
        <f>SUMIF(DataBase!$H:$H, 'P&amp;L Statement'!$B22, DataBase!E:E)/10000000</f>
        <v>-4.8846512199999997E-2</v>
      </c>
      <c r="D22" s="41">
        <f>SUMIF(DataBase!$H:$H, 'P&amp;L Statement'!$B22, DataBase!F:F)/10000000</f>
        <v>-9.8419196500000014E-2</v>
      </c>
      <c r="E22" s="41">
        <f>SUMIF(DataBase!$H:$H, 'P&amp;L Statement'!$B22, DataBase!G:G)/10000000</f>
        <v>-3.6496502599999994E-2</v>
      </c>
    </row>
    <row r="23" spans="2:5">
      <c r="B23" s="40" t="s">
        <v>209</v>
      </c>
      <c r="C23" s="44">
        <f>SUM(C21:C22)</f>
        <v>8.4839827846000002</v>
      </c>
      <c r="D23" s="44">
        <f t="shared" ref="D23:E23" si="5">SUM(D21:D22)</f>
        <v>3.8354507720000024</v>
      </c>
      <c r="E23" s="44">
        <f t="shared" si="5"/>
        <v>6.9380391799999996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Guest User</cp:lastModifiedBy>
  <cp:revision/>
  <dcterms:created xsi:type="dcterms:W3CDTF">2006-09-16T00:00:00Z</dcterms:created>
  <dcterms:modified xsi:type="dcterms:W3CDTF">2023-09-27T12:01:04Z</dcterms:modified>
  <cp:category/>
  <cp:contentStatus/>
</cp:coreProperties>
</file>